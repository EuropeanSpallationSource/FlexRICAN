
<file path=[Content_Types].xml><?xml version="1.0" encoding="utf-8"?>
<Types xmlns="http://schemas.openxmlformats.org/package/2006/content-types">
  <Default Extension="bin" ContentType="application/vnd.openxmlformats-officedocument.spreadsheetml.printerSettings"/>
  <Default Extension="emf" ContentType="image/x-emf"/>
  <Default Extension="ppm"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libeamlines.sharepoint.com/sites/Dep99_Project_FlexRICAN/Shared Documents/FlexRICAN/5_WP 4/"/>
    </mc:Choice>
  </mc:AlternateContent>
  <xr:revisionPtr revIDLastSave="228" documentId="8_{7E9D7245-4A4B-4C95-B7AD-6567AC7B268A}" xr6:coauthVersionLast="47" xr6:coauthVersionMax="47" xr10:uidLastSave="{1C00918A-B12F-420A-9F65-E7A4E93974C9}"/>
  <bookViews>
    <workbookView xWindow="30450" yWindow="1650" windowWidth="21600" windowHeight="11175" activeTab="1" xr2:uid="{00000000-000D-0000-FFFF-FFFF00000000}"/>
  </bookViews>
  <sheets>
    <sheet name="Introduction" sheetId="6" r:id="rId1"/>
    <sheet name="FMEA" sheetId="13" r:id="rId2"/>
    <sheet name="DA and UPS powered devices" sheetId="8" r:id="rId3"/>
    <sheet name="Evaluation table" sheetId="11" state="hidden" r:id="rId4"/>
  </sheets>
  <definedNames>
    <definedName name="_xlnm._FilterDatabase" localSheetId="1" hidden="1">FMEA!$L$1:$L$96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80" i="13" l="1"/>
  <c r="R70" i="13"/>
  <c r="R71" i="13"/>
  <c r="R72" i="13"/>
  <c r="R73" i="13"/>
  <c r="R74" i="13"/>
  <c r="R75" i="13"/>
  <c r="R76" i="13"/>
  <c r="R77" i="13"/>
  <c r="R78" i="13"/>
  <c r="R79" i="13"/>
  <c r="R81" i="13"/>
  <c r="R82" i="13"/>
  <c r="R83" i="13"/>
  <c r="R65" i="13"/>
  <c r="R66" i="13"/>
  <c r="R67" i="13"/>
  <c r="R68" i="13"/>
  <c r="R69" i="13"/>
  <c r="R64" i="13"/>
  <c r="R21" i="13"/>
  <c r="R19" i="13"/>
  <c r="R14" i="13"/>
  <c r="R15" i="13"/>
  <c r="R13" i="13"/>
  <c r="L3" i="13"/>
  <c r="L4" i="13"/>
  <c r="L5" i="13"/>
  <c r="L7" i="13"/>
  <c r="L8" i="13"/>
  <c r="L9" i="13"/>
  <c r="L10" i="13"/>
  <c r="L12" i="13"/>
  <c r="L13" i="13"/>
  <c r="L14" i="13"/>
  <c r="L15" i="13"/>
  <c r="L16" i="13"/>
  <c r="L18" i="13"/>
  <c r="L19" i="13"/>
  <c r="L20" i="13"/>
  <c r="L21" i="13"/>
  <c r="L22" i="13"/>
  <c r="L23" i="13"/>
  <c r="L25" i="13"/>
  <c r="L26" i="13"/>
  <c r="L27" i="13"/>
  <c r="L28" i="13"/>
  <c r="L30" i="13"/>
  <c r="L31" i="13"/>
  <c r="L32" i="13"/>
  <c r="L33" i="13"/>
  <c r="L34" i="13"/>
  <c r="L35" i="13"/>
  <c r="L36" i="13"/>
  <c r="L37" i="13"/>
  <c r="L38" i="13"/>
  <c r="L39" i="13"/>
  <c r="L40" i="13"/>
  <c r="L41" i="13"/>
  <c r="L42" i="13"/>
  <c r="L43" i="13"/>
  <c r="L44" i="13"/>
  <c r="L45" i="13"/>
  <c r="L46" i="13"/>
  <c r="L47" i="13"/>
  <c r="L48" i="13"/>
  <c r="L49" i="13"/>
  <c r="L50" i="13"/>
  <c r="L51" i="13"/>
  <c r="L53" i="13"/>
  <c r="L54" i="13"/>
  <c r="L55" i="13"/>
  <c r="L57" i="13"/>
  <c r="L58" i="13"/>
  <c r="L59" i="13"/>
  <c r="L60" i="13"/>
  <c r="L62" i="13"/>
  <c r="L63" i="13"/>
  <c r="L64" i="13"/>
  <c r="L65" i="13"/>
  <c r="L66" i="13"/>
  <c r="L68" i="13"/>
  <c r="L69" i="13"/>
  <c r="L70" i="13"/>
  <c r="L71" i="13"/>
  <c r="L72" i="13"/>
  <c r="L73" i="13"/>
  <c r="L75" i="13"/>
  <c r="L76" i="13"/>
  <c r="L77" i="13"/>
  <c r="L78" i="13"/>
  <c r="L80" i="13"/>
  <c r="L81" i="13"/>
  <c r="L82" i="13"/>
  <c r="L83" i="13"/>
  <c r="L6" i="13" l="1"/>
  <c r="L74" i="13"/>
  <c r="L17" i="13"/>
  <c r="L67" i="13"/>
  <c r="L29" i="13"/>
  <c r="L56" i="13"/>
  <c r="L61" i="13"/>
  <c r="L11" i="13"/>
  <c r="L79" i="13"/>
  <c r="L52" i="13"/>
  <c r="L24" i="13"/>
  <c r="L2" i="13"/>
</calcChain>
</file>

<file path=xl/sharedStrings.xml><?xml version="1.0" encoding="utf-8"?>
<sst xmlns="http://schemas.openxmlformats.org/spreadsheetml/2006/main" count="2661" uniqueCount="849">
  <si>
    <t xml:space="preserve">RPN </t>
  </si>
  <si>
    <t>RPN</t>
  </si>
  <si>
    <t>-</t>
  </si>
  <si>
    <t>EMP</t>
  </si>
  <si>
    <t>UPS</t>
  </si>
  <si>
    <t>Poznámka</t>
  </si>
  <si>
    <t>DA</t>
  </si>
  <si>
    <t>1AB</t>
  </si>
  <si>
    <t>2AB</t>
  </si>
  <si>
    <t>3AB</t>
  </si>
  <si>
    <t>14AB</t>
  </si>
  <si>
    <t>15A</t>
  </si>
  <si>
    <t>16B</t>
  </si>
  <si>
    <t>17AB</t>
  </si>
  <si>
    <t>18AB</t>
  </si>
  <si>
    <t>19AB</t>
  </si>
  <si>
    <t>20B</t>
  </si>
  <si>
    <t>21B</t>
  </si>
  <si>
    <t>45AB</t>
  </si>
  <si>
    <t>46AB</t>
  </si>
  <si>
    <t>47AB</t>
  </si>
  <si>
    <t>48B</t>
  </si>
  <si>
    <t>49A</t>
  </si>
  <si>
    <t>49B</t>
  </si>
  <si>
    <t>51B</t>
  </si>
  <si>
    <t>52B1</t>
  </si>
  <si>
    <t>52B2</t>
  </si>
  <si>
    <t>55B</t>
  </si>
  <si>
    <t>56A</t>
  </si>
  <si>
    <t>57B</t>
  </si>
  <si>
    <t>58B</t>
  </si>
  <si>
    <t>59B</t>
  </si>
  <si>
    <t>65A</t>
  </si>
  <si>
    <t>66B</t>
  </si>
  <si>
    <t>67B</t>
  </si>
  <si>
    <t>68P</t>
  </si>
  <si>
    <t>69B</t>
  </si>
  <si>
    <t>70C</t>
  </si>
  <si>
    <t>73C</t>
  </si>
  <si>
    <t>60D</t>
  </si>
  <si>
    <t>61D</t>
  </si>
  <si>
    <t>62C</t>
  </si>
  <si>
    <t>62D</t>
  </si>
  <si>
    <t>63D</t>
  </si>
  <si>
    <t>64C</t>
  </si>
  <si>
    <t>64D</t>
  </si>
  <si>
    <t>150.1.1</t>
  </si>
  <si>
    <t>153.1.1</t>
  </si>
  <si>
    <t>159.1.1</t>
  </si>
  <si>
    <t>90A</t>
  </si>
  <si>
    <t>91A</t>
  </si>
  <si>
    <t>92A</t>
  </si>
  <si>
    <t>93A</t>
  </si>
  <si>
    <t>94A</t>
  </si>
  <si>
    <t>95A</t>
  </si>
  <si>
    <t>98A</t>
  </si>
  <si>
    <t>101A</t>
  </si>
  <si>
    <t>102A</t>
  </si>
  <si>
    <t>103A</t>
  </si>
  <si>
    <t>111B</t>
  </si>
  <si>
    <t>112B</t>
  </si>
  <si>
    <t>113B</t>
  </si>
  <si>
    <t>114A</t>
  </si>
  <si>
    <t>115B</t>
  </si>
  <si>
    <t>116B</t>
  </si>
  <si>
    <t>120C</t>
  </si>
  <si>
    <t>121C</t>
  </si>
  <si>
    <t>201C</t>
  </si>
  <si>
    <t>202C</t>
  </si>
  <si>
    <t>203C</t>
  </si>
  <si>
    <t>204C</t>
  </si>
  <si>
    <t>205C</t>
  </si>
  <si>
    <t>206C</t>
  </si>
  <si>
    <t>207C</t>
  </si>
  <si>
    <t>208C</t>
  </si>
  <si>
    <t>209C</t>
  </si>
  <si>
    <t>210C</t>
  </si>
  <si>
    <t>211C</t>
  </si>
  <si>
    <t>212C</t>
  </si>
  <si>
    <t>213C</t>
  </si>
  <si>
    <t>214C</t>
  </si>
  <si>
    <t>215C</t>
  </si>
  <si>
    <t>216C</t>
  </si>
  <si>
    <t>217C</t>
  </si>
  <si>
    <t>218C</t>
  </si>
  <si>
    <t>219C</t>
  </si>
  <si>
    <t>220C</t>
  </si>
  <si>
    <t>221C</t>
  </si>
  <si>
    <t>222C</t>
  </si>
  <si>
    <t>223C</t>
  </si>
  <si>
    <t>224C</t>
  </si>
  <si>
    <t>225C</t>
  </si>
  <si>
    <t>226C</t>
  </si>
  <si>
    <t>227C</t>
  </si>
  <si>
    <t>228C</t>
  </si>
  <si>
    <t>229C</t>
  </si>
  <si>
    <t>230C</t>
  </si>
  <si>
    <t>290C</t>
  </si>
  <si>
    <t>231C</t>
  </si>
  <si>
    <t>232C</t>
  </si>
  <si>
    <t>233C</t>
  </si>
  <si>
    <t>234C</t>
  </si>
  <si>
    <t>235C</t>
  </si>
  <si>
    <t>236C</t>
  </si>
  <si>
    <t>237C</t>
  </si>
  <si>
    <t>241C</t>
  </si>
  <si>
    <t>242C</t>
  </si>
  <si>
    <t>243C</t>
  </si>
  <si>
    <t>244C</t>
  </si>
  <si>
    <t>245C</t>
  </si>
  <si>
    <t>246C</t>
  </si>
  <si>
    <t>247C</t>
  </si>
  <si>
    <t>248C</t>
  </si>
  <si>
    <t>249C</t>
  </si>
  <si>
    <t>250C</t>
  </si>
  <si>
    <t>251C</t>
  </si>
  <si>
    <t>252C</t>
  </si>
  <si>
    <t>253C</t>
  </si>
  <si>
    <t>254C</t>
  </si>
  <si>
    <t>255C</t>
  </si>
  <si>
    <t>256C</t>
  </si>
  <si>
    <t>257C</t>
  </si>
  <si>
    <t>258C</t>
  </si>
  <si>
    <t>259C</t>
  </si>
  <si>
    <t>260C</t>
  </si>
  <si>
    <t>261C</t>
  </si>
  <si>
    <t>262C</t>
  </si>
  <si>
    <t>263C</t>
  </si>
  <si>
    <t>264C</t>
  </si>
  <si>
    <t>270C</t>
  </si>
  <si>
    <t>271C</t>
  </si>
  <si>
    <t>272C</t>
  </si>
  <si>
    <t>273C</t>
  </si>
  <si>
    <t>274C</t>
  </si>
  <si>
    <t>275C</t>
  </si>
  <si>
    <t>276C</t>
  </si>
  <si>
    <t>277C</t>
  </si>
  <si>
    <t>321A</t>
  </si>
  <si>
    <t>331B</t>
  </si>
  <si>
    <t>332B</t>
  </si>
  <si>
    <t>Kanceláře a chodby v obj. Laboratoře</t>
  </si>
  <si>
    <t>Čisté prostory v obj. Laboratoře</t>
  </si>
  <si>
    <t>Přesné dílny v obj. Laboratoře</t>
  </si>
  <si>
    <t>Větrání strojoven VZT - Laserová hala, sever</t>
  </si>
  <si>
    <t>Větrání strojovny VZT - Laserová hala, jih, suterén</t>
  </si>
  <si>
    <t>Větrání Laserové haly - přízemí - 1.p</t>
  </si>
  <si>
    <t>Větrání Laserové haly - 2.p - 3.p</t>
  </si>
  <si>
    <t>Větrání Laserové haly - suterén 1 - 2</t>
  </si>
  <si>
    <t>WC a šatny v obj. Laboratoře</t>
  </si>
  <si>
    <t>Přesná klimatizace serverovny - In row jednotky</t>
  </si>
  <si>
    <t>Cirkulační jednotky pro Ultrasonic Cleaning</t>
  </si>
  <si>
    <t xml:space="preserve">Větrání čísté chodby v obj. Laserové haly, suterén </t>
  </si>
  <si>
    <t>Větrání čísté chodby v obj. Laserové haly, přízemí</t>
  </si>
  <si>
    <t xml:space="preserve">Větrání čísté chodby v obj. Laserové haly, 2.patro </t>
  </si>
  <si>
    <t>Odtah ze strojovny čerpání</t>
  </si>
  <si>
    <t>Větrání návštěvnické galerie - přívod</t>
  </si>
  <si>
    <t>Větrání návštěvnické galerie - odvod</t>
  </si>
  <si>
    <t>Větrání požární rozvodny NN - LB.01.27</t>
  </si>
  <si>
    <t>Větrání Trafostanice 1</t>
  </si>
  <si>
    <t>Větrání Trafostanice 2</t>
  </si>
  <si>
    <t>Větrání strojovny hydraulického výtahu</t>
  </si>
  <si>
    <t>Přívod spalovacího vzduchu - kotle</t>
  </si>
  <si>
    <t>Větrání rozvodny NN - LB.01.08</t>
  </si>
  <si>
    <t>Odtah kuchyňky</t>
  </si>
  <si>
    <t>Odtah z místnosti serverů</t>
  </si>
  <si>
    <t>Větrání mechanické dílny a svařovny - přívod</t>
  </si>
  <si>
    <t>Větrání mechanické dílny a svařovny - odvod</t>
  </si>
  <si>
    <t>Odvod vzduchu ze svařovny</t>
  </si>
  <si>
    <t>Přirození větrání místnosti UPS</t>
  </si>
  <si>
    <t xml:space="preserve">Odtah ze patrových datových rozvoden - switch </t>
  </si>
  <si>
    <t xml:space="preserve"> Cirkulační jednotka pro Corridor with removable roof L.02.43</t>
  </si>
  <si>
    <t>Cirkulační jednotka pro Corridor L.02.41</t>
  </si>
  <si>
    <t>vodní chladič pro jednotku s hepa</t>
  </si>
  <si>
    <t>Podstropní jednotka s hepa filtrem</t>
  </si>
  <si>
    <t>Dveřní clona</t>
  </si>
  <si>
    <t>Fan coil jednotka, podstropní, bez opláštění</t>
  </si>
  <si>
    <t>PV - Chodba - Laserova halá - suterén 2</t>
  </si>
  <si>
    <t>PV - Chodba - Laserová hala - přízemí</t>
  </si>
  <si>
    <t>PV - Chodba - Laserová hala - 2.patro</t>
  </si>
  <si>
    <t>Větrání rozvodny NN</t>
  </si>
  <si>
    <t>Strojovna chlazení - provozní větrání</t>
  </si>
  <si>
    <t>Strojovna technických plynů - provozní větrání</t>
  </si>
  <si>
    <t>Přívod vzduchu pro kompresory - Elektrická vytápěcí a větrací jednotka</t>
  </si>
  <si>
    <t>Strojovna chlazení - havarijní větrání</t>
  </si>
  <si>
    <t>Strojovna technických plynů - havarijní větrání</t>
  </si>
  <si>
    <t>Vzduchová sprcha - Air Shower (2 dveře)</t>
  </si>
  <si>
    <t>Vzduchová sprcha - Air Shower (3 dveře)</t>
  </si>
  <si>
    <t>Cirkulační jendotka Exp. I</t>
  </si>
  <si>
    <t>Cirkulační jendotka Exp. II</t>
  </si>
  <si>
    <t>Cirkulační  jendotka Exp. III</t>
  </si>
  <si>
    <t>Cirkulační  jendotka Laser 4C</t>
  </si>
  <si>
    <t>Cirkulační  jendotka Exp. IV</t>
  </si>
  <si>
    <t>Cirkulační  jendotka Exp. V</t>
  </si>
  <si>
    <t>Cirkulační  jendotka Exp. VI</t>
  </si>
  <si>
    <t>Cirkulační  jendotka Laser 1</t>
  </si>
  <si>
    <t>Cirkulační  jendotka Laser 2</t>
  </si>
  <si>
    <t>Cirkulační  jendotka Laser 3</t>
  </si>
  <si>
    <t>Cirkulační  jendotka Laser 4b</t>
  </si>
  <si>
    <t>Cirkulační  jendotka Laser 4a</t>
  </si>
  <si>
    <t>Cirkulační  jendotka - neexprimentální prostor L.2.10</t>
  </si>
  <si>
    <t>Laboratoře 2 - přívod / Dočasné zařízení pro větrání všech prostor</t>
  </si>
  <si>
    <t>Odtah od vakuových pump - exhaust X</t>
  </si>
  <si>
    <t>Odtah od vakuových pump - exhaust Y</t>
  </si>
  <si>
    <t>Příloha č.5: Soupis zařízení v chodu na DA</t>
  </si>
  <si>
    <t>Všechny rozvaděče jsou napojeny na DA, pro překlemování krátkodobého výpadku bude v rozvaděči osazena UPS, 
automatizační podstanice v provozu i při výpadku síťového napájení</t>
  </si>
  <si>
    <t>Číslo 
zařízení</t>
  </si>
  <si>
    <t>Název a účel zařízení</t>
  </si>
  <si>
    <t xml:space="preserve"> Provoz při výpadku síťového napájení</t>
  </si>
  <si>
    <t>VZT</t>
  </si>
  <si>
    <t>4AB</t>
  </si>
  <si>
    <t>Administrativní budova</t>
  </si>
  <si>
    <t>zařízení není napojeno na DA, v činnosti protimrazová ochrana</t>
  </si>
  <si>
    <t>6AB</t>
  </si>
  <si>
    <t>Restaurace</t>
  </si>
  <si>
    <t>7A</t>
  </si>
  <si>
    <t>Kuchyň - přívod</t>
  </si>
  <si>
    <t>Elektrický ohřívač do potrubí</t>
  </si>
  <si>
    <t>8B</t>
  </si>
  <si>
    <t>Kuchyň - odtah</t>
  </si>
  <si>
    <t>9AB</t>
  </si>
  <si>
    <t>Zasedací místnosti a knihovna</t>
  </si>
  <si>
    <t>10AB</t>
  </si>
  <si>
    <t>Přednáškový sál</t>
  </si>
  <si>
    <t>11AB</t>
  </si>
  <si>
    <t>Učebna a chodby</t>
  </si>
  <si>
    <t>22B</t>
  </si>
  <si>
    <t>Odtah WC v obj. Administrativní budovy</t>
  </si>
  <si>
    <t>zařízení není napojeno na DA</t>
  </si>
  <si>
    <t>23B</t>
  </si>
  <si>
    <t>Odtah WC  v obj. Administrativní budovy</t>
  </si>
  <si>
    <t>24B</t>
  </si>
  <si>
    <t>Odtah WC  v obj. Administrativní budovy, přízemí</t>
  </si>
  <si>
    <t>25B</t>
  </si>
  <si>
    <t>Odtah WC v obj. Multifunkční budova, 1. patro</t>
  </si>
  <si>
    <t>26B</t>
  </si>
  <si>
    <t>Odtah kopírky v obj. Administrativní budova - sever</t>
  </si>
  <si>
    <t>27B</t>
  </si>
  <si>
    <t>Odtah kuchyňky v obj. Administrativní budova - jih</t>
  </si>
  <si>
    <t>28B</t>
  </si>
  <si>
    <t>Odtah kopírky v obj. Administrativní budova - jih</t>
  </si>
  <si>
    <t>29B</t>
  </si>
  <si>
    <t>Odtah WC v obj. Multifunkční budova, přízemí</t>
  </si>
  <si>
    <t>43C</t>
  </si>
  <si>
    <t>Cirkulační jednotka - Atrium</t>
  </si>
  <si>
    <t>50B</t>
  </si>
  <si>
    <t>Sklad odpadu</t>
  </si>
  <si>
    <t>53B</t>
  </si>
  <si>
    <t>Odtah kuchyňky v obj. Administrativní budova - sever</t>
  </si>
  <si>
    <t>54B</t>
  </si>
  <si>
    <t>154.1.1</t>
  </si>
  <si>
    <t>FCU - podstropní, bez opláštění</t>
  </si>
  <si>
    <t>155.1.1</t>
  </si>
  <si>
    <t>157.1.1</t>
  </si>
  <si>
    <t>158.1.1</t>
  </si>
  <si>
    <t>151.1.1</t>
  </si>
  <si>
    <t>152.1.1</t>
  </si>
  <si>
    <t>153.1.2</t>
  </si>
  <si>
    <t>FCU - parapetni</t>
  </si>
  <si>
    <t>153.1.3</t>
  </si>
  <si>
    <t>FCU - podstropní, opláštěný</t>
  </si>
  <si>
    <t>156.1.1</t>
  </si>
  <si>
    <t>157.1.2</t>
  </si>
  <si>
    <t>71C</t>
  </si>
  <si>
    <t>Jednotka přesné klimatizace - vodní</t>
  </si>
  <si>
    <t>72C</t>
  </si>
  <si>
    <t>Jednotka přesné klimatizace - s přímým výparem</t>
  </si>
  <si>
    <t>zařízení napojeno na DA</t>
  </si>
  <si>
    <t>Dveřní clona - karuselová elektrický ohřev</t>
  </si>
  <si>
    <t>Dveřní clona - vodní</t>
  </si>
  <si>
    <t>96A</t>
  </si>
  <si>
    <t>PVS - Administrativní budova, schodiště, jih</t>
  </si>
  <si>
    <t>zařízení v chodu na DA, MaR monitoruje</t>
  </si>
  <si>
    <t>97A</t>
  </si>
  <si>
    <t>PVS - Administrativní budova, schodiště, sever</t>
  </si>
  <si>
    <t>99A</t>
  </si>
  <si>
    <t>PVS - Multifunkční budova, schodiště</t>
  </si>
  <si>
    <t>zařízení v chodu na DA, včetně regulace</t>
  </si>
  <si>
    <t>30-35C</t>
  </si>
  <si>
    <t>37, 38C</t>
  </si>
  <si>
    <t>40C, 41C</t>
  </si>
  <si>
    <t>Cirkulační jednotky pro Large Equipment Airlock</t>
  </si>
  <si>
    <t>42C</t>
  </si>
  <si>
    <t>PŘÍPRAVA - Cirkulační jednotka pro Large Equipment Airlock</t>
  </si>
  <si>
    <t>změna</t>
  </si>
  <si>
    <t>nové</t>
  </si>
  <si>
    <t>74.1B</t>
  </si>
  <si>
    <t>Odtahová jednotka pro Rad Lab LB.2.17</t>
  </si>
  <si>
    <t>74.2B</t>
  </si>
  <si>
    <t>60C</t>
  </si>
  <si>
    <t>61C</t>
  </si>
  <si>
    <t>63C</t>
  </si>
  <si>
    <t>68C</t>
  </si>
  <si>
    <t>PŘÍPRAVA - Podstropní jednotka s hepa filtrem</t>
  </si>
  <si>
    <t>68D</t>
  </si>
  <si>
    <t>PŘÍPRAVA - vodní chladič pro jednotku s hepa</t>
  </si>
  <si>
    <t>PVS - Laboratoře, schodiště</t>
  </si>
  <si>
    <t>PVS - Laserová hala, schodiště, sever</t>
  </si>
  <si>
    <t>PVS - Laserová hala, schodiště, střed</t>
  </si>
  <si>
    <t>PVS - Laserová hala, suterén, jih 1</t>
  </si>
  <si>
    <t>PVS - Laserová hala, suterén, jih 2</t>
  </si>
  <si>
    <t>PVS - Laserová hala, suterén, východ</t>
  </si>
  <si>
    <t>PVS - Laserová hala, schodiště, střed, 0.pp UP</t>
  </si>
  <si>
    <t>110B1</t>
  </si>
  <si>
    <t>zrušeno</t>
  </si>
  <si>
    <t>110B2</t>
  </si>
  <si>
    <t>238C</t>
  </si>
  <si>
    <t>239C</t>
  </si>
  <si>
    <t>240C</t>
  </si>
  <si>
    <t>265C</t>
  </si>
  <si>
    <t>266C</t>
  </si>
  <si>
    <t>267C</t>
  </si>
  <si>
    <t>268C</t>
  </si>
  <si>
    <t>269C</t>
  </si>
  <si>
    <t>278C</t>
  </si>
  <si>
    <t>PŘÍPRAVA - Cirkulační  jendotka - neexprimentální prostor L.2.10</t>
  </si>
  <si>
    <t>279C</t>
  </si>
  <si>
    <t>280C</t>
  </si>
  <si>
    <t>281C</t>
  </si>
  <si>
    <t>282C</t>
  </si>
  <si>
    <t>283C</t>
  </si>
  <si>
    <t>284C</t>
  </si>
  <si>
    <t>285C</t>
  </si>
  <si>
    <t>PŘÍPRAVA - Cirkulační  jendotka - prostor L.2.01</t>
  </si>
  <si>
    <t>286C</t>
  </si>
  <si>
    <t>287C</t>
  </si>
  <si>
    <t>288C</t>
  </si>
  <si>
    <t>301AB</t>
  </si>
  <si>
    <t>PŘÍPRAVA - Laboratoř 3</t>
  </si>
  <si>
    <t xml:space="preserve">PŘÍPRAVA - Laboratoř 3 </t>
  </si>
  <si>
    <t>302AB</t>
  </si>
  <si>
    <t>PŘÍPRAVA - Laboratoř 3 - ZÁLOHA</t>
  </si>
  <si>
    <t>303AB</t>
  </si>
  <si>
    <t>PŘÍPRAVA - Laboratoře 1</t>
  </si>
  <si>
    <t>304AB</t>
  </si>
  <si>
    <t>305B</t>
  </si>
  <si>
    <t>PŘÍPRAVA - Fume hood extract - Ex</t>
  </si>
  <si>
    <t>306.1B</t>
  </si>
  <si>
    <t>PŘÍPRAVA - Gas storage cabinets extract - Ex A - LAB</t>
  </si>
  <si>
    <t>306.2B</t>
  </si>
  <si>
    <t>307.1B</t>
  </si>
  <si>
    <t>PŘÍPRAVA - Gas storage cabinets extract - Ex B - LAB</t>
  </si>
  <si>
    <t>307.2B</t>
  </si>
  <si>
    <t>308.1B</t>
  </si>
  <si>
    <t>PŘÍPRAVA - Laboratoř 3 - samostatný odtah z kabinetu - Ex</t>
  </si>
  <si>
    <t>308.2B</t>
  </si>
  <si>
    <t>309.1B</t>
  </si>
  <si>
    <t>PŘÍPRAVA - Vestavek E5 - samostatný odtah z kabinetu</t>
  </si>
  <si>
    <t>309.2B</t>
  </si>
  <si>
    <t>311AB</t>
  </si>
  <si>
    <t>PŘÍPRAVA - Vestavek E5</t>
  </si>
  <si>
    <t>312AB</t>
  </si>
  <si>
    <t>313B</t>
  </si>
  <si>
    <t>PŘÍPRAVA - Vestavek E1, E2 - odvod</t>
  </si>
  <si>
    <t>Gas storage cabinets supply</t>
  </si>
  <si>
    <t>322.1B</t>
  </si>
  <si>
    <t>Gas storage cabinets extract - Ex A - LH</t>
  </si>
  <si>
    <t>322.2B</t>
  </si>
  <si>
    <t>323.1B</t>
  </si>
  <si>
    <t>Gas storage cabinets extract - Ex B - LH</t>
  </si>
  <si>
    <t>323.2B</t>
  </si>
  <si>
    <t>ČT</t>
  </si>
  <si>
    <t>105.1</t>
  </si>
  <si>
    <t>čerpadlo</t>
  </si>
  <si>
    <t>105.2</t>
  </si>
  <si>
    <t>101.1</t>
  </si>
  <si>
    <t>101.2</t>
  </si>
  <si>
    <t>106.1</t>
  </si>
  <si>
    <t>106.2</t>
  </si>
  <si>
    <t>103.1</t>
  </si>
  <si>
    <t>103.2</t>
  </si>
  <si>
    <t>102.1</t>
  </si>
  <si>
    <t>102.2</t>
  </si>
  <si>
    <t>107.1</t>
  </si>
  <si>
    <t>107.2</t>
  </si>
  <si>
    <t>ČCH</t>
  </si>
  <si>
    <t>031.1</t>
  </si>
  <si>
    <t>031.2</t>
  </si>
  <si>
    <t>032.1</t>
  </si>
  <si>
    <t>032.2</t>
  </si>
  <si>
    <t>021.1</t>
  </si>
  <si>
    <t>021.2</t>
  </si>
  <si>
    <t>022.1</t>
  </si>
  <si>
    <t>022.2</t>
  </si>
  <si>
    <t>033.1</t>
  </si>
  <si>
    <t>033.2</t>
  </si>
  <si>
    <t>023.1</t>
  </si>
  <si>
    <t>023.2</t>
  </si>
  <si>
    <t>034.1</t>
  </si>
  <si>
    <t>034.2</t>
  </si>
  <si>
    <t>024.1</t>
  </si>
  <si>
    <t>024.2</t>
  </si>
  <si>
    <t>134.1</t>
  </si>
  <si>
    <t>134.2</t>
  </si>
  <si>
    <t>035.1</t>
  </si>
  <si>
    <t>035.2</t>
  </si>
  <si>
    <t>002.1</t>
  </si>
  <si>
    <t>002.2</t>
  </si>
  <si>
    <t>002.3</t>
  </si>
  <si>
    <t>105.3</t>
  </si>
  <si>
    <t>115.1</t>
  </si>
  <si>
    <t>115.2</t>
  </si>
  <si>
    <t>104.1</t>
  </si>
  <si>
    <t>104.2</t>
  </si>
  <si>
    <t>110.1a</t>
  </si>
  <si>
    <t>Podávací oběhové čerpadlo okruhu DEMI vody</t>
  </si>
  <si>
    <t>110.1b</t>
  </si>
  <si>
    <t>07.1a</t>
  </si>
  <si>
    <t>Oběhové čerpadlo DEMI vody pro L.2.10</t>
  </si>
  <si>
    <t>07.1b</t>
  </si>
  <si>
    <t>07.2a</t>
  </si>
  <si>
    <t>Oběhové čerpadlo DEMI vody pro L.2.10 pro technologie přesunuté z hal L1 až L3</t>
  </si>
  <si>
    <t>07.2b</t>
  </si>
  <si>
    <t>07.3a</t>
  </si>
  <si>
    <t xml:space="preserve">Oběhové čerpadlo DEMI vody pro chlazení vakuových pump v L.2.02 a L.2.04  </t>
  </si>
  <si>
    <t>07.3b</t>
  </si>
  <si>
    <t>07.4a</t>
  </si>
  <si>
    <t>Oběhové čerpadlo DEMI vody pro technology capacitors L.2.09</t>
  </si>
  <si>
    <t>07.4b</t>
  </si>
  <si>
    <t>07.5a</t>
  </si>
  <si>
    <t>Oběhové čerpadlo DEMI vody pro Laser Hall L4a  (L.2.08)</t>
  </si>
  <si>
    <t>07.5b</t>
  </si>
  <si>
    <t>07.6a</t>
  </si>
  <si>
    <t>Oběhové čerpadlo DEMI vody pro Laser Hall L1  (L.00.10)</t>
  </si>
  <si>
    <t>07.6b</t>
  </si>
  <si>
    <t>07.7a</t>
  </si>
  <si>
    <t>Oběhové čerpadlo DEMI vody pro Laser Hall L2  (L.00.09)</t>
  </si>
  <si>
    <t>07.7b</t>
  </si>
  <si>
    <t>07.8a</t>
  </si>
  <si>
    <t>Oběhové čerpadlo DEMI vody pro Laser Hall L3  (L.00.08)</t>
  </si>
  <si>
    <t>07.8b</t>
  </si>
  <si>
    <t>07.9a</t>
  </si>
  <si>
    <t>Oběhové čerpadlo DEMI vody pro Laser Hall L4b  (L.00.07)</t>
  </si>
  <si>
    <t>07.9b</t>
  </si>
  <si>
    <t>07.10a</t>
  </si>
  <si>
    <t>Oběhové čerpadlo DEMI vody pro E1 (L.02.03) a chlazení vakuových pump v L.01.01</t>
  </si>
  <si>
    <t>07.10b</t>
  </si>
  <si>
    <t>07.11a</t>
  </si>
  <si>
    <t>07.11b</t>
  </si>
  <si>
    <t>07.12a</t>
  </si>
  <si>
    <t>Oběhové čerpadlo DEMI vody pro E3  (L.02.13) a chlazení vakuových pump v L.01.05</t>
  </si>
  <si>
    <t>07.12b</t>
  </si>
  <si>
    <t>07.13a</t>
  </si>
  <si>
    <t>Oběhové čerpadlo DEMI vody pro L4c  (L.02.14) a chlazení vakuových pump v L.01.07</t>
  </si>
  <si>
    <t>07.13b</t>
  </si>
  <si>
    <t>07.14a</t>
  </si>
  <si>
    <t>Oběhové čerpadlo DEMI vody pro Experimental Hall  E4  (L.02.22)</t>
  </si>
  <si>
    <t>07.14b</t>
  </si>
  <si>
    <t>07.15a</t>
  </si>
  <si>
    <t>Oběhové čerpadlo DEMI vody pro E5  (L.02.34) a chlazení vakuových pump v L.02.38</t>
  </si>
  <si>
    <t>07.15b</t>
  </si>
  <si>
    <t>07.16a</t>
  </si>
  <si>
    <t>07.16b</t>
  </si>
  <si>
    <t>07.17a</t>
  </si>
  <si>
    <t>Oběhové čerpadlo DEMI vody pro E6  (L.02.25) a chlazení vakuových pump v L.02.35</t>
  </si>
  <si>
    <t>07.17b</t>
  </si>
  <si>
    <t>07.18a</t>
  </si>
  <si>
    <t>Oběhové čerpadlo DEMI vody pro LAB budovu</t>
  </si>
  <si>
    <t>07.18b</t>
  </si>
  <si>
    <t>108.1</t>
  </si>
  <si>
    <t>108.2</t>
  </si>
  <si>
    <t>108a.1</t>
  </si>
  <si>
    <t>108b.1</t>
  </si>
  <si>
    <t>109.1</t>
  </si>
  <si>
    <t>109.2</t>
  </si>
  <si>
    <t>110a.1</t>
  </si>
  <si>
    <t>110b.1</t>
  </si>
  <si>
    <t>111.1</t>
  </si>
  <si>
    <t>111.2</t>
  </si>
  <si>
    <t>Č</t>
  </si>
  <si>
    <t>1AB.01</t>
  </si>
  <si>
    <t>čerpadlo ohřívače VZT jednotky</t>
  </si>
  <si>
    <t>2AB.01</t>
  </si>
  <si>
    <t>2AB.02</t>
  </si>
  <si>
    <t>3AB.01</t>
  </si>
  <si>
    <t>4AB.01</t>
  </si>
  <si>
    <t>6AB.01</t>
  </si>
  <si>
    <t>7A.01</t>
  </si>
  <si>
    <t>9AB.01</t>
  </si>
  <si>
    <t>10AB.01</t>
  </si>
  <si>
    <t>11AB.01</t>
  </si>
  <si>
    <t>14AB.01</t>
  </si>
  <si>
    <t>15AB.01</t>
  </si>
  <si>
    <t>17AB.01</t>
  </si>
  <si>
    <t>17AB.02</t>
  </si>
  <si>
    <t>18AB.01</t>
  </si>
  <si>
    <t>18AB.02</t>
  </si>
  <si>
    <t>19AB.01</t>
  </si>
  <si>
    <t>19AB.02</t>
  </si>
  <si>
    <t>37C.01</t>
  </si>
  <si>
    <t>38C.01</t>
  </si>
  <si>
    <t>43C.01</t>
  </si>
  <si>
    <t>45AB.01</t>
  </si>
  <si>
    <t>46AB.02</t>
  </si>
  <si>
    <t>47AB.03</t>
  </si>
  <si>
    <t>201C.01</t>
  </si>
  <si>
    <t>202C.01</t>
  </si>
  <si>
    <t>203C.01</t>
  </si>
  <si>
    <t>204C.01</t>
  </si>
  <si>
    <t>205C.01</t>
  </si>
  <si>
    <t>206C.01</t>
  </si>
  <si>
    <t>207C.01</t>
  </si>
  <si>
    <t>208C.01</t>
  </si>
  <si>
    <t>209C.01</t>
  </si>
  <si>
    <t>210C.01</t>
  </si>
  <si>
    <t>211C.01</t>
  </si>
  <si>
    <t>212C.01</t>
  </si>
  <si>
    <t>213C.01</t>
  </si>
  <si>
    <t>214C.01</t>
  </si>
  <si>
    <t>215C.01</t>
  </si>
  <si>
    <t>216C.01</t>
  </si>
  <si>
    <t>217C.01</t>
  </si>
  <si>
    <t>218C.01</t>
  </si>
  <si>
    <t>219C.01</t>
  </si>
  <si>
    <t>220C.01</t>
  </si>
  <si>
    <t>221C.01</t>
  </si>
  <si>
    <t>222C.01</t>
  </si>
  <si>
    <t>223C.01</t>
  </si>
  <si>
    <t>224C.01</t>
  </si>
  <si>
    <t>225C.01</t>
  </si>
  <si>
    <t>226C.01</t>
  </si>
  <si>
    <t>227C.01</t>
  </si>
  <si>
    <t>228C.01</t>
  </si>
  <si>
    <t>229C.01</t>
  </si>
  <si>
    <t>230C.01</t>
  </si>
  <si>
    <t>290C.01</t>
  </si>
  <si>
    <t>231C.01</t>
  </si>
  <si>
    <t>232C.01</t>
  </si>
  <si>
    <t>233C.01</t>
  </si>
  <si>
    <t>234C.01</t>
  </si>
  <si>
    <t>235C.01</t>
  </si>
  <si>
    <t>236C.01</t>
  </si>
  <si>
    <t>237C.01</t>
  </si>
  <si>
    <t>238C.01</t>
  </si>
  <si>
    <t>239C.01</t>
  </si>
  <si>
    <t>240C.01</t>
  </si>
  <si>
    <t>241C.01</t>
  </si>
  <si>
    <t>242C.01</t>
  </si>
  <si>
    <t>243C.01</t>
  </si>
  <si>
    <t>244C.01</t>
  </si>
  <si>
    <t>245C.01</t>
  </si>
  <si>
    <t>246C.01</t>
  </si>
  <si>
    <t>247C.01</t>
  </si>
  <si>
    <t>248C.01</t>
  </si>
  <si>
    <t>249C.01</t>
  </si>
  <si>
    <t>250C.01</t>
  </si>
  <si>
    <t>251C.01</t>
  </si>
  <si>
    <t>252C.01</t>
  </si>
  <si>
    <t>253C.01</t>
  </si>
  <si>
    <t>254C.01</t>
  </si>
  <si>
    <t>255C.01</t>
  </si>
  <si>
    <t>256C.01</t>
  </si>
  <si>
    <t>257C.01</t>
  </si>
  <si>
    <t>258C.01</t>
  </si>
  <si>
    <t>259C.01</t>
  </si>
  <si>
    <t>260C.01</t>
  </si>
  <si>
    <t>261C.01</t>
  </si>
  <si>
    <t>262C.01</t>
  </si>
  <si>
    <t>263C.01</t>
  </si>
  <si>
    <t>264C.01</t>
  </si>
  <si>
    <t>265C.01</t>
  </si>
  <si>
    <t>266C.01</t>
  </si>
  <si>
    <t>267C.01</t>
  </si>
  <si>
    <t>268C.01</t>
  </si>
  <si>
    <t>269C.01</t>
  </si>
  <si>
    <t>270C.01</t>
  </si>
  <si>
    <t>271C.01</t>
  </si>
  <si>
    <t>272C.01</t>
  </si>
  <si>
    <t>273C.01</t>
  </si>
  <si>
    <t>274C.01</t>
  </si>
  <si>
    <t>275C.01</t>
  </si>
  <si>
    <t>276C.01</t>
  </si>
  <si>
    <t>277C.01</t>
  </si>
  <si>
    <t>278C.01</t>
  </si>
  <si>
    <t>279C.01</t>
  </si>
  <si>
    <t>280C.01</t>
  </si>
  <si>
    <t>281C.01</t>
  </si>
  <si>
    <t>282C.01</t>
  </si>
  <si>
    <t>283C.01</t>
  </si>
  <si>
    <t>284C.01</t>
  </si>
  <si>
    <t>285C.01</t>
  </si>
  <si>
    <t>286C.01</t>
  </si>
  <si>
    <t>287C.01</t>
  </si>
  <si>
    <t>288C.01</t>
  </si>
  <si>
    <t>70C.01</t>
  </si>
  <si>
    <t>301A.01</t>
  </si>
  <si>
    <t>příprava</t>
  </si>
  <si>
    <t>301A.03</t>
  </si>
  <si>
    <t>302A.01</t>
  </si>
  <si>
    <t>302A.03</t>
  </si>
  <si>
    <t>303A.01</t>
  </si>
  <si>
    <t>303A.03</t>
  </si>
  <si>
    <t>304A.01</t>
  </si>
  <si>
    <t>304A.03</t>
  </si>
  <si>
    <t>304A.04</t>
  </si>
  <si>
    <t>311A.01</t>
  </si>
  <si>
    <t>311A.03</t>
  </si>
  <si>
    <t>312A.01</t>
  </si>
  <si>
    <t>312A.03</t>
  </si>
  <si>
    <t>321A.01</t>
  </si>
  <si>
    <t>CH</t>
  </si>
  <si>
    <t>Jednotka 1 LASER</t>
  </si>
  <si>
    <t>Jednotka 2 LASER</t>
  </si>
  <si>
    <t>Jednotka 3 ADMIN,LAB,MULTIFUNKCE</t>
  </si>
  <si>
    <t>Jednotka 4 ADMIN,LAB,MULTIFUNKCE</t>
  </si>
  <si>
    <t>118.1</t>
  </si>
  <si>
    <t xml:space="preserve">Suchý chladič </t>
  </si>
  <si>
    <t>118.2</t>
  </si>
  <si>
    <t>118.3</t>
  </si>
  <si>
    <t>118.4</t>
  </si>
  <si>
    <t>117.1</t>
  </si>
  <si>
    <t>Chladící věž</t>
  </si>
  <si>
    <t>117.2</t>
  </si>
  <si>
    <t>117.3</t>
  </si>
  <si>
    <t>Úpravna vody</t>
  </si>
  <si>
    <t>Přípravana glykolové směsi</t>
  </si>
  <si>
    <t>Expanzní automat 2ks</t>
  </si>
  <si>
    <t>Expanzní automat 1ks</t>
  </si>
  <si>
    <t>splitsystém</t>
  </si>
  <si>
    <t>Chlazení cold room</t>
  </si>
  <si>
    <t>K</t>
  </si>
  <si>
    <t>Kotel</t>
  </si>
  <si>
    <t>Expanzní automat</t>
  </si>
  <si>
    <t>ZT-P-103.01</t>
  </si>
  <si>
    <t>Havarijní uzávěr kotelny</t>
  </si>
  <si>
    <t>P:\Department 99\Parallel Design_COMPLETE package_october2013\A3 Technika prostredi staveb\A3.4 Zarizeni pro mereni a regulaci\A3.4.1 Technicka zprava\A3.4.1-5-ELI tabulka zarizeni na DA.xls</t>
  </si>
  <si>
    <t>Čerstvovzdušná VZT pro ČP L</t>
  </si>
  <si>
    <t>Čerstvovzdušná VZT pro ČP E</t>
  </si>
  <si>
    <t>Čerstvovzdušná VZT pro ČP S</t>
  </si>
  <si>
    <t>RPN:</t>
  </si>
  <si>
    <t>60+</t>
  </si>
  <si>
    <t>30-60</t>
  </si>
  <si>
    <t>20-30</t>
  </si>
  <si>
    <t>0-20</t>
  </si>
  <si>
    <t>The second step was to fill in the FMEA table, see the next tab.</t>
  </si>
  <si>
    <t>https://en.wikipedia.org/wiki/Failure_mode_and_effects_analysis</t>
  </si>
  <si>
    <t>How we defined the faults:</t>
  </si>
  <si>
    <t>Abnormal/unwanted conditions in the system</t>
  </si>
  <si>
    <t>- Parameters out of bounds</t>
  </si>
  <si>
    <t>- Shutdown of equipment</t>
  </si>
  <si>
    <t>Sending SMS:</t>
  </si>
  <si>
    <t>Rating table:</t>
  </si>
  <si>
    <t>Very critical</t>
  </si>
  <si>
    <t>Critical</t>
  </si>
  <si>
    <t>Notification</t>
  </si>
  <si>
    <t>Noncritical</t>
  </si>
  <si>
    <t>FMEA for Experiment</t>
  </si>
  <si>
    <t>Severity</t>
  </si>
  <si>
    <t>Occurence</t>
  </si>
  <si>
    <t>Detection</t>
  </si>
  <si>
    <t>Low severity - no impact on process</t>
  </si>
  <si>
    <t>Moderately critical - process can be endangered</t>
  </si>
  <si>
    <t>Very critical - Threats to experiment, equipment and health</t>
  </si>
  <si>
    <t>Low incidence - hasn't happened yet or max 1. in 5 years</t>
  </si>
  <si>
    <t>Moderate incidence - once a year</t>
  </si>
  <si>
    <t>High incidence - once every 3 months</t>
  </si>
  <si>
    <t>Simple - multiple sources of information, regular checking, BMS</t>
  </si>
  <si>
    <t>Medium difficulty - not automatically searched - someone has to focus on it</t>
  </si>
  <si>
    <t>Difficult - not actively detected - accidental detection</t>
  </si>
  <si>
    <r>
      <rPr>
        <b/>
        <sz val="10"/>
        <color rgb="FF000000"/>
        <rFont val="Segoe UI"/>
        <family val="2"/>
        <charset val="238"/>
      </rPr>
      <t>Aim of the document:</t>
    </r>
    <r>
      <rPr>
        <sz val="10"/>
        <color rgb="FF000000"/>
        <rFont val="Segoe UI"/>
        <family val="2"/>
        <charset val="238"/>
      </rPr>
      <t xml:space="preserve"> To identify critical points in the Facility that threaten the operation of the experiment the most and to set up the system so that it either prevents problems or informs the Facility department in time, which will respond to the problem.</t>
    </r>
  </si>
  <si>
    <t>The first step was to create an Experiment dependency map to have an overview of what is related to what.</t>
  </si>
  <si>
    <t>Important failures that have an immediate impact on experiment or can jeopardize it. Example: Failure of a device that is backed up from DA - important, a device that does not have a physical backup...</t>
  </si>
  <si>
    <t>General</t>
  </si>
  <si>
    <t>BMS</t>
  </si>
  <si>
    <t>Service</t>
  </si>
  <si>
    <t>Zdenek has info that they changed the buttons for buttons with cover, but I saw a few more around the building</t>
  </si>
  <si>
    <t>Buttons with cover</t>
  </si>
  <si>
    <t>Unwanted manipulation</t>
  </si>
  <si>
    <t>Shutdown of BMS</t>
  </si>
  <si>
    <t>Emergency shutdown pressed</t>
  </si>
  <si>
    <t>UPS backup</t>
  </si>
  <si>
    <t>Not backed by UPS</t>
  </si>
  <si>
    <t>Equipment shutdown - el. power</t>
  </si>
  <si>
    <t>Micro power failure</t>
  </si>
  <si>
    <t>Equipment shutdown - el. Controls</t>
  </si>
  <si>
    <t>Shutdown of the device - summative failure</t>
  </si>
  <si>
    <t>Humidification</t>
  </si>
  <si>
    <t>Sensor degradation</t>
  </si>
  <si>
    <t>Suboptimal regulation</t>
  </si>
  <si>
    <t>Poorly measured values</t>
  </si>
  <si>
    <t>Equipment degradation</t>
  </si>
  <si>
    <t>Instructions on how to shut down/restart the system (how to shut down/restart the system correctly)</t>
  </si>
  <si>
    <t>Control of the system after commissioning, limited access to the space</t>
  </si>
  <si>
    <t>Mechanical failure, corrosion, short circuit</t>
  </si>
  <si>
    <t>Humidifiers will not produce steam</t>
  </si>
  <si>
    <t>There's nothing on the UPS</t>
  </si>
  <si>
    <t>There's nothing on the DA</t>
  </si>
  <si>
    <t>BMS is on UPS</t>
  </si>
  <si>
    <t>non-compliance with the parameters in the CR</t>
  </si>
  <si>
    <t>Stop cooling</t>
  </si>
  <si>
    <t>Shutting down the cooling secondary</t>
  </si>
  <si>
    <t>Secondary</t>
  </si>
  <si>
    <t>Cooling</t>
  </si>
  <si>
    <t>Same as the primary cooling</t>
  </si>
  <si>
    <t>Frequency converter setup check</t>
  </si>
  <si>
    <t>Poorly set frequency converter - no automatic restart after a failure</t>
  </si>
  <si>
    <t>Pump shutdown</t>
  </si>
  <si>
    <t>Frequency converter will not attempt to restart after a fault</t>
  </si>
  <si>
    <t xml:space="preserve">The cold source will not produce cold </t>
  </si>
  <si>
    <t>Hot water and heating source</t>
  </si>
  <si>
    <t>The HUP is closed without signal and must be physically commissioned. I would consider reverse control.</t>
  </si>
  <si>
    <t>Stopped gas supply</t>
  </si>
  <si>
    <t>No hot water - failure to achieve required cleanroom parameters</t>
  </si>
  <si>
    <t>Shutting down the device</t>
  </si>
  <si>
    <t>HVAC shutdown - non-compliance with cleanroom parameters</t>
  </si>
  <si>
    <t>BMS on UPS</t>
  </si>
  <si>
    <t>Controls shutdown</t>
  </si>
  <si>
    <t>HVAC</t>
  </si>
  <si>
    <t>Only BMS is on UPS</t>
  </si>
  <si>
    <t>Fresh air HVAC are backed up to DA and the elements that are necessary to work (hot water pump, BMS)</t>
  </si>
  <si>
    <t>See note</t>
  </si>
  <si>
    <t>Spare parts/ whole element</t>
  </si>
  <si>
    <t>Compressed air</t>
  </si>
  <si>
    <t>Not connected to UPS</t>
  </si>
  <si>
    <t>Shutting off the compressed air supply for experiments and vacuum machines</t>
  </si>
  <si>
    <t>It's connected to the DA</t>
  </si>
  <si>
    <t>Differing information on whether or not the UPS is backed up, definitely experiencing outages - probably a wiring issue</t>
  </si>
  <si>
    <t>Micro power supply</t>
  </si>
  <si>
    <t>preventive maintenance/battery replacement</t>
  </si>
  <si>
    <t>UPS system inoperable during power failure/power drop</t>
  </si>
  <si>
    <t>Insufficient battery capacity</t>
  </si>
  <si>
    <t>Electricity</t>
  </si>
  <si>
    <t>When repairing/revising the UPS, it was not checked that all elements were set correctly</t>
  </si>
  <si>
    <t>UPS will not work</t>
  </si>
  <si>
    <t>Bad device settings</t>
  </si>
  <si>
    <t xml:space="preserve">UPS will not supply power. </t>
  </si>
  <si>
    <t>Summative failure, degradation</t>
  </si>
  <si>
    <t>Lack of electricity for production</t>
  </si>
  <si>
    <t>Degradation - length of storage (winter/summer diesel?)</t>
  </si>
  <si>
    <t>Damage to the generator</t>
  </si>
  <si>
    <t>Insufficient fuel quality</t>
  </si>
  <si>
    <t>Checking the fuel level</t>
  </si>
  <si>
    <t>Lack of fuel</t>
  </si>
  <si>
    <t>Disconnection of the factory from electricity power</t>
  </si>
  <si>
    <t>When repairing/revising/re-establishing power after a DA, it was not checked that all elements were set correctly</t>
  </si>
  <si>
    <t>Revision, service</t>
  </si>
  <si>
    <t>Oil, sensors...</t>
  </si>
  <si>
    <t>Capital Investment Plan ELI Beamlines - Dolní Břežany Jaroslav Klem Projects</t>
  </si>
  <si>
    <t>Duplicated inlet - we have two inlets, one normal, the other from HiLase and it is not working?</t>
  </si>
  <si>
    <t>Substation burnout on the supplier's side</t>
  </si>
  <si>
    <t>Long-term power outage</t>
  </si>
  <si>
    <t>Damaged electricity supply from the supplier</t>
  </si>
  <si>
    <t>From the supplier</t>
  </si>
  <si>
    <t>Poorly designed, installed experimental equipment change, malfunction</t>
  </si>
  <si>
    <t>Higher consumption, cable heating, damage to machines</t>
  </si>
  <si>
    <t>Insufficient reactive power compensation</t>
  </si>
  <si>
    <t>When revisioning or malfunction</t>
  </si>
  <si>
    <t>Revision test</t>
  </si>
  <si>
    <t>Degradation of elements</t>
  </si>
  <si>
    <t>The system cannot be controlled</t>
  </si>
  <si>
    <t>Switches, disconnectors and circuit breakers do not respond correctly to command/change position/do not turn off/turn back on</t>
  </si>
  <si>
    <t xml:space="preserve"> Preventive meter replacement</t>
  </si>
  <si>
    <t>Non-functioning system</t>
  </si>
  <si>
    <t>Incorrect physical settings of switches, circuit breakers</t>
  </si>
  <si>
    <t>Faulty control/data source</t>
  </si>
  <si>
    <t>Measuring sensor failure</t>
  </si>
  <si>
    <t>Disconnecting the building from the electricity source</t>
  </si>
  <si>
    <t>Total stop/central stop pressed</t>
  </si>
  <si>
    <t>Mains overvoltage, short circuit - external</t>
  </si>
  <si>
    <t>CHP does not run when there are experiments - excess hot water</t>
  </si>
  <si>
    <t>Shutting down cooling, experiments</t>
  </si>
  <si>
    <t>Brownout in the power grid</t>
  </si>
  <si>
    <t>CHP</t>
  </si>
  <si>
    <t>Schedule set 9:30 - 22:00</t>
  </si>
  <si>
    <t>CHP does not run when experiments are running - timetable</t>
  </si>
  <si>
    <t>Installation of signal distortion or disturbance measurements at selected locations, possible removal of interference</t>
  </si>
  <si>
    <t>Properly designed and revised machinery and equipment</t>
  </si>
  <si>
    <t>Harmonics, peaks, dips...</t>
  </si>
  <si>
    <t>Production not connected to  UPS is threatened</t>
  </si>
  <si>
    <t>Various interferences on the external network</t>
  </si>
  <si>
    <t>We have an Elspec analyzer, there are no reported problems and we do not check the analyzer without a reported fault.</t>
  </si>
  <si>
    <t>Harmonic, reactive current</t>
  </si>
  <si>
    <t>Production threatened</t>
  </si>
  <si>
    <t>Various interferences on the internal network</t>
  </si>
  <si>
    <t>Compliance with instructions for installation of equipment, use of equipment and premises</t>
  </si>
  <si>
    <t>Proper installation of equipment in rooms with potential EMF generator</t>
  </si>
  <si>
    <t>Experiment</t>
  </si>
  <si>
    <t>Vacuum</t>
  </si>
  <si>
    <t>Cooling water (Demi)</t>
  </si>
  <si>
    <t>Pump shut down</t>
  </si>
  <si>
    <t>Pump does not start after power failure</t>
  </si>
  <si>
    <t>Disconnecting the cooling system from the power source</t>
  </si>
  <si>
    <t>Pumps are not on UPS</t>
  </si>
  <si>
    <t>Short-term (40s) cooling stop for experiment</t>
  </si>
  <si>
    <t>Stop cooling for experiment</t>
  </si>
  <si>
    <t>BMS on UPS, chillers are not on UPS and go to failure</t>
  </si>
  <si>
    <t>Cooling water</t>
  </si>
  <si>
    <t>Suspension of proceedings</t>
  </si>
  <si>
    <t>Demi-water</t>
  </si>
  <si>
    <t>Disconnecting the source station from the power source</t>
  </si>
  <si>
    <t>The demi-water won't flow for a while</t>
  </si>
  <si>
    <t>Lack of Demi-water</t>
  </si>
  <si>
    <t>Shutdown of controls</t>
  </si>
  <si>
    <t>Nitrogen main supply</t>
  </si>
  <si>
    <t>Disconnecting the nitrogen source from the electricity source</t>
  </si>
  <si>
    <t>Insufficient information on the source of nitrogen</t>
  </si>
  <si>
    <t xml:space="preserve">Equipment shutdown - el. Controls </t>
  </si>
  <si>
    <t>Note</t>
  </si>
  <si>
    <t>Detectability</t>
  </si>
  <si>
    <t>Occurrence</t>
  </si>
  <si>
    <t>Measures taken</t>
  </si>
  <si>
    <t>Responsibility / deadline</t>
  </si>
  <si>
    <t>Recommended measures</t>
  </si>
  <si>
    <t>Existing detection</t>
  </si>
  <si>
    <t>Existing prevention measures</t>
  </si>
  <si>
    <t>Possible causes (mechanisms of the defect)</t>
  </si>
  <si>
    <t>Criticality</t>
  </si>
  <si>
    <t>Possible consequences of the defect</t>
  </si>
  <si>
    <t>Possible fault</t>
  </si>
  <si>
    <t>Functions</t>
  </si>
  <si>
    <t>No.</t>
  </si>
  <si>
    <t>Poorly set Frequency converter - no automatic restart after a failure</t>
  </si>
  <si>
    <t>Scheduled Frequency converter setting check within next service period</t>
  </si>
  <si>
    <t>FC on pumps</t>
  </si>
  <si>
    <t>Not backed by MG</t>
  </si>
  <si>
    <t>All pumps needed to keep the circuit running are on the MG, the source station is not on the MG</t>
  </si>
  <si>
    <t>The pumps are on the MG and according to the project all the elements needed for cooling technology are to be on the MG. At least Chiller 1 is not on the MG</t>
  </si>
  <si>
    <t>UPS, MG</t>
  </si>
  <si>
    <t>When repairing/revising/re-establishing power after a MG, it was not checked that all elements were set correctly</t>
  </si>
  <si>
    <t>MG</t>
  </si>
  <si>
    <t xml:space="preserve">MG will not produce electricity. </t>
  </si>
  <si>
    <t>MG will not produce electricity</t>
  </si>
  <si>
    <t>Fuel consumption during regular MG tests</t>
  </si>
  <si>
    <t>MG backup</t>
  </si>
  <si>
    <t>Set chillers so they try to restart after power restoration</t>
  </si>
  <si>
    <t>Tirol Libor Q2/2025</t>
  </si>
  <si>
    <t>Chillers set up by service provider to restart after power failure automatically.</t>
  </si>
  <si>
    <t>Q2/2026</t>
  </si>
  <si>
    <t>Planned study on resilience Q2/2026</t>
  </si>
  <si>
    <t>Q3/2025</t>
  </si>
  <si>
    <t>Rigorous research what is causing the problem.</t>
  </si>
  <si>
    <t>Found out that Control Systems Department sent STOP experiment signal when pump had low flow instantly, changed so it is send after 2 minutes (MG up, Pump UP, Experiment does not care about 2 minut low flow - they have problems after 5 minutes)</t>
  </si>
  <si>
    <t>Online control of perosnell</t>
  </si>
  <si>
    <t>FMEA, preventive measures, Study on resilience Q2/2026</t>
  </si>
  <si>
    <t>Properly designed and revised machinery and equipment, CHP</t>
  </si>
  <si>
    <t>BMS, maintenance rounds</t>
  </si>
  <si>
    <t>maintenance rounds</t>
  </si>
  <si>
    <t>Revisions, maintenance rounds, BMS</t>
  </si>
  <si>
    <t>Backd up by MG</t>
  </si>
  <si>
    <t>It's connected to the MG</t>
  </si>
  <si>
    <t>MGSV ( Main gas shutoff valve) is not backed up</t>
  </si>
  <si>
    <t xml:space="preserve">Pumps, boiler, emergency shut-off are to be as per the MG design. </t>
  </si>
  <si>
    <t>Not on UPS</t>
  </si>
  <si>
    <t>Add UPS for MGSV</t>
  </si>
  <si>
    <t>Added UPS for MGSV, added heat storage with CHP - we do not need bioler room and gas if we have heat stored</t>
  </si>
  <si>
    <t>Contact supplier to change settings of chillers.</t>
  </si>
  <si>
    <t>Chillers set up so they restart after power failure.</t>
  </si>
  <si>
    <t>Q2/2025</t>
  </si>
  <si>
    <t>Put BMS on UPS, set up system that informs you when BMS (PLC) is offline</t>
  </si>
  <si>
    <t>UPS implemented, Implemented function to inform when BMS is not running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</si>
</sst>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charset val="238"/>
      <scheme val="minor"/>
    </font>
    <font>
      <b/>
      <sz val="8"/>
      <color theme="1"/>
      <name val="Calibri"/>
      <family val="2"/>
      <charset val="238"/>
      <scheme val="minor"/>
    </font>
    <font>
      <sz val="11"/>
      <name val="Calibri"/>
      <family val="2"/>
      <scheme val="minor"/>
    </font>
    <font>
      <sz val="11"/>
      <color theme="1"/>
      <name val="Calibri"/>
      <family val="2"/>
      <charset val="238"/>
      <scheme val="minor"/>
    </font>
    <font>
      <sz val="10"/>
      <name val="Arial CE"/>
      <charset val="238"/>
    </font>
    <font>
      <u/>
      <sz val="11"/>
      <color theme="10"/>
      <name val="Calibri"/>
      <family val="2"/>
      <scheme val="minor"/>
    </font>
    <font>
      <sz val="36"/>
      <color theme="1"/>
      <name val="Calibri"/>
      <family val="2"/>
      <scheme val="minor"/>
    </font>
    <font>
      <sz val="10"/>
      <name val="Arial"/>
      <family val="2"/>
      <charset val="238"/>
    </font>
    <font>
      <b/>
      <sz val="14"/>
      <color theme="1"/>
      <name val="Calibri"/>
      <family val="2"/>
      <charset val="238"/>
      <scheme val="minor"/>
    </font>
    <font>
      <sz val="12"/>
      <color theme="1"/>
      <name val="Calibri"/>
      <family val="2"/>
      <charset val="238"/>
      <scheme val="minor"/>
    </font>
    <font>
      <b/>
      <sz val="12"/>
      <color theme="1"/>
      <name val="Calibri"/>
      <family val="2"/>
      <charset val="238"/>
      <scheme val="minor"/>
    </font>
    <font>
      <sz val="10"/>
      <color theme="1"/>
      <name val="Calibri"/>
      <family val="2"/>
      <charset val="238"/>
      <scheme val="minor"/>
    </font>
    <font>
      <u/>
      <sz val="11"/>
      <color theme="10"/>
      <name val="Calibri"/>
      <family val="2"/>
      <charset val="238"/>
      <scheme val="minor"/>
    </font>
    <font>
      <sz val="10"/>
      <color rgb="FF000000"/>
      <name val="Segoe UI"/>
      <family val="2"/>
      <charset val="238"/>
    </font>
    <font>
      <b/>
      <sz val="10"/>
      <color rgb="FF000000"/>
      <name val="Segoe UI"/>
      <family val="2"/>
      <charset val="238"/>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999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9">
    <xf numFmtId="0" fontId="0" fillId="0" borderId="0"/>
    <xf numFmtId="0" fontId="6" fillId="0" borderId="0" applyNumberFormat="0" applyFill="0" applyBorder="0" applyAlignment="0" applyProtection="0"/>
    <xf numFmtId="0" fontId="5" fillId="0" borderId="0"/>
    <xf numFmtId="0" fontId="8" fillId="0" borderId="0"/>
    <xf numFmtId="0" fontId="8" fillId="0" borderId="0"/>
    <xf numFmtId="0" fontId="8" fillId="0" borderId="0"/>
    <xf numFmtId="0" fontId="8" fillId="0" borderId="0"/>
    <xf numFmtId="0" fontId="4" fillId="0" borderId="0"/>
    <xf numFmtId="0" fontId="8" fillId="0" borderId="0"/>
  </cellStyleXfs>
  <cellXfs count="6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wrapText="1"/>
    </xf>
    <xf numFmtId="0" fontId="0" fillId="2" borderId="0" xfId="0" applyFill="1"/>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textRotation="255" wrapText="1"/>
    </xf>
    <xf numFmtId="0" fontId="2" fillId="0" borderId="5" xfId="0" applyFont="1" applyBorder="1" applyAlignment="1">
      <alignment vertical="center" textRotation="255" wrapText="1"/>
    </xf>
    <xf numFmtId="0" fontId="1" fillId="0" borderId="0" xfId="0" applyFont="1" applyAlignment="1">
      <alignment vertical="center" wrapText="1"/>
    </xf>
    <xf numFmtId="0" fontId="1" fillId="3" borderId="1" xfId="0" applyFont="1" applyFill="1" applyBorder="1" applyAlignment="1">
      <alignment horizontal="center" vertical="center" wrapText="1"/>
    </xf>
    <xf numFmtId="0" fontId="0" fillId="0" borderId="7" xfId="0" applyBorder="1"/>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textRotation="255" wrapText="1"/>
    </xf>
    <xf numFmtId="0" fontId="2" fillId="0" borderId="3" xfId="0" applyFont="1" applyBorder="1" applyAlignment="1">
      <alignment vertical="center" textRotation="255" wrapText="1"/>
    </xf>
    <xf numFmtId="0" fontId="6" fillId="0" borderId="0" xfId="1"/>
    <xf numFmtId="0" fontId="4" fillId="0" borderId="0" xfId="0" applyFont="1"/>
    <xf numFmtId="0" fontId="6" fillId="0" borderId="0" xfId="1" applyFill="1"/>
    <xf numFmtId="0" fontId="1" fillId="3" borderId="1" xfId="0" applyFont="1" applyFill="1" applyBorder="1" applyAlignment="1">
      <alignment vertical="center" wrapText="1"/>
    </xf>
    <xf numFmtId="0" fontId="3" fillId="0" borderId="0" xfId="1" applyFont="1" applyFill="1"/>
    <xf numFmtId="0" fontId="9" fillId="0" borderId="0" xfId="8" applyFont="1" applyAlignment="1">
      <alignment vertical="center"/>
    </xf>
    <xf numFmtId="0" fontId="10" fillId="0" borderId="0" xfId="2" applyFont="1" applyAlignment="1">
      <alignment horizontal="centerContinuous" vertical="center"/>
    </xf>
    <xf numFmtId="0" fontId="11" fillId="0" borderId="0" xfId="2" applyFont="1" applyAlignment="1">
      <alignment horizontal="center" vertical="center"/>
    </xf>
    <xf numFmtId="0" fontId="10" fillId="0" borderId="0" xfId="2" applyFont="1"/>
    <xf numFmtId="0" fontId="10" fillId="0" borderId="0" xfId="2" applyFont="1" applyAlignment="1">
      <alignment horizontal="left" vertical="center"/>
    </xf>
    <xf numFmtId="0" fontId="10" fillId="0" borderId="0" xfId="2" applyFont="1" applyAlignment="1">
      <alignment horizontal="center"/>
    </xf>
    <xf numFmtId="49" fontId="10" fillId="0" borderId="0" xfId="2" applyNumberFormat="1" applyFont="1" applyAlignment="1">
      <alignment vertical="center"/>
    </xf>
    <xf numFmtId="0" fontId="11" fillId="0" borderId="0" xfId="2" applyFont="1" applyAlignment="1">
      <alignment horizontal="center"/>
    </xf>
    <xf numFmtId="0" fontId="9" fillId="0" borderId="11" xfId="2" applyFont="1" applyBorder="1" applyAlignment="1">
      <alignment horizontal="center" vertical="center" wrapText="1"/>
    </xf>
    <xf numFmtId="0" fontId="12" fillId="0" borderId="0" xfId="2" applyFont="1"/>
    <xf numFmtId="0" fontId="10" fillId="0" borderId="10" xfId="2" applyFont="1" applyBorder="1" applyProtection="1">
      <protection locked="0"/>
    </xf>
    <xf numFmtId="0" fontId="10" fillId="0" borderId="10" xfId="2" applyFont="1" applyBorder="1" applyAlignment="1" applyProtection="1">
      <alignment horizontal="center" vertical="center"/>
      <protection locked="0"/>
    </xf>
    <xf numFmtId="0" fontId="10" fillId="0" borderId="10" xfId="2" applyFont="1" applyBorder="1" applyAlignment="1" applyProtection="1">
      <alignment horizontal="center"/>
      <protection locked="0"/>
    </xf>
    <xf numFmtId="0" fontId="10" fillId="0" borderId="9" xfId="2" applyFont="1" applyBorder="1" applyAlignment="1" applyProtection="1">
      <alignment horizontal="right" vertical="center"/>
      <protection locked="0"/>
    </xf>
    <xf numFmtId="0" fontId="10" fillId="0" borderId="9" xfId="2" applyFont="1" applyBorder="1" applyAlignment="1" applyProtection="1">
      <alignment horizontal="left" vertical="center"/>
      <protection locked="0"/>
    </xf>
    <xf numFmtId="0" fontId="10" fillId="0" borderId="9" xfId="2" applyFont="1" applyBorder="1" applyAlignment="1" applyProtection="1">
      <alignment vertical="center"/>
      <protection locked="0"/>
    </xf>
    <xf numFmtId="0" fontId="10" fillId="0" borderId="9" xfId="2" applyFont="1" applyBorder="1" applyAlignment="1" applyProtection="1">
      <alignment horizontal="center" vertical="center"/>
      <protection locked="0"/>
    </xf>
    <xf numFmtId="0" fontId="0" fillId="0" borderId="1" xfId="0" applyBorder="1" applyAlignment="1">
      <alignment horizontal="center" vertical="center" wrapText="1"/>
    </xf>
    <xf numFmtId="0" fontId="6" fillId="0" borderId="0" xfId="1" applyAlignment="1">
      <alignment horizontal="center" vertical="center"/>
    </xf>
    <xf numFmtId="0" fontId="0" fillId="0" borderId="0" xfId="0" applyAlignment="1">
      <alignment horizontal="center" vertical="center" wrapText="1"/>
    </xf>
    <xf numFmtId="0" fontId="1" fillId="0" borderId="3"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wrapText="1"/>
    </xf>
    <xf numFmtId="0" fontId="1" fillId="0" borderId="6" xfId="0" applyFont="1" applyBorder="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xf>
    <xf numFmtId="0" fontId="0" fillId="3" borderId="0" xfId="0" applyFill="1"/>
    <xf numFmtId="0" fontId="13" fillId="0" borderId="0" xfId="1" applyFont="1" applyFill="1"/>
    <xf numFmtId="0" fontId="1" fillId="3" borderId="1" xfId="0" applyFont="1" applyFill="1" applyBorder="1" applyAlignment="1">
      <alignment vertical="center" textRotation="255" wrapText="1"/>
    </xf>
    <xf numFmtId="0" fontId="0" fillId="4" borderId="0" xfId="0" applyFill="1"/>
    <xf numFmtId="0" fontId="0" fillId="5" borderId="0" xfId="0" applyFill="1"/>
    <xf numFmtId="0" fontId="14" fillId="0" borderId="0" xfId="0" applyFont="1"/>
    <xf numFmtId="0" fontId="0" fillId="0" borderId="0" xfId="0" applyAlignment="1">
      <alignment horizontal="center"/>
    </xf>
    <xf numFmtId="0" fontId="0" fillId="0" borderId="0" xfId="0" applyAlignment="1">
      <alignment horizontal="left"/>
    </xf>
    <xf numFmtId="0" fontId="15" fillId="0" borderId="0" xfId="0" applyFont="1"/>
    <xf numFmtId="0" fontId="7" fillId="0" borderId="0" xfId="0" applyFont="1" applyAlignment="1">
      <alignment horizont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0" fillId="0" borderId="0" xfId="2" applyFont="1" applyAlignment="1">
      <alignment horizontal="left" wrapText="1"/>
    </xf>
    <xf numFmtId="0" fontId="9" fillId="0" borderId="8" xfId="2" applyFont="1" applyBorder="1" applyAlignment="1">
      <alignment horizontal="center" vertical="center" wrapText="1"/>
    </xf>
    <xf numFmtId="0" fontId="9" fillId="0" borderId="12" xfId="2" applyFont="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center"/>
    </xf>
  </cellXfs>
  <cellStyles count="9">
    <cellStyle name="Hyperlink" xfId="1" builtinId="8"/>
    <cellStyle name="Normal" xfId="0" builtinId="0"/>
    <cellStyle name="Normal 2" xfId="2" xr:uid="{51886554-A048-4E66-AB43-984546C6E734}"/>
    <cellStyle name="Normální 2" xfId="3" xr:uid="{50EB4950-0921-4E89-AF08-FA4326F029A6}"/>
    <cellStyle name="Normální 3" xfId="4" xr:uid="{DB51693D-741E-4D4F-9439-76CE3017D316}"/>
    <cellStyle name="Normální 4" xfId="5" xr:uid="{9A592DA5-6211-4E6C-960E-D9D3F304E8A3}"/>
    <cellStyle name="Normální 5" xfId="6" xr:uid="{459E5D3D-C579-415F-9230-4ABFE1E9D6AE}"/>
    <cellStyle name="Normální 6" xfId="7" xr:uid="{63CFE4BF-C704-4F9F-B54B-DB8427E82608}"/>
    <cellStyle name="normální_Zadávací podklad pro profese" xfId="8" xr:uid="{49266D2B-7661-4600-817C-6E3CFA11103C}"/>
  </cellStyles>
  <dxfs count="8">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s>
  <tableStyles count="0" defaultTableStyle="TableStyleMedium2" defaultPivotStyle="PivotStyleLight16"/>
  <colors>
    <mruColors>
      <color rgb="FFFF99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pm"/></Relationships>
</file>

<file path=xl/drawings/drawing1.xml><?xml version="1.0" encoding="utf-8"?>
<xdr:wsDr xmlns:xdr="http://schemas.openxmlformats.org/drawingml/2006/spreadsheetDrawing" xmlns:a="http://schemas.openxmlformats.org/drawingml/2006/main">
  <xdr:twoCellAnchor editAs="oneCell">
    <xdr:from>
      <xdr:col>4</xdr:col>
      <xdr:colOff>158750</xdr:colOff>
      <xdr:row>10</xdr:row>
      <xdr:rowOff>47625</xdr:rowOff>
    </xdr:from>
    <xdr:to>
      <xdr:col>13</xdr:col>
      <xdr:colOff>85725</xdr:colOff>
      <xdr:row>26</xdr:row>
      <xdr:rowOff>54083</xdr:rowOff>
    </xdr:to>
    <xdr:pic>
      <xdr:nvPicPr>
        <xdr:cNvPr id="3" name="Picture 2">
          <a:extLst>
            <a:ext uri="{FF2B5EF4-FFF2-40B4-BE49-F238E27FC236}">
              <a16:creationId xmlns:a16="http://schemas.microsoft.com/office/drawing/2014/main" id="{A3563FFE-F3A5-9800-3F16-46589E1449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7150" y="2257425"/>
          <a:ext cx="5413375" cy="2902058"/>
        </a:xfrm>
        <a:prstGeom prst="rect">
          <a:avLst/>
        </a:prstGeom>
      </xdr:spPr>
    </xdr:pic>
    <xdr:clientData/>
  </xdr:twoCellAnchor>
  <xdr:twoCellAnchor editAs="oneCell">
    <xdr:from>
      <xdr:col>0</xdr:col>
      <xdr:colOff>349250</xdr:colOff>
      <xdr:row>37</xdr:row>
      <xdr:rowOff>165100</xdr:rowOff>
    </xdr:from>
    <xdr:to>
      <xdr:col>19</xdr:col>
      <xdr:colOff>12700</xdr:colOff>
      <xdr:row>44</xdr:row>
      <xdr:rowOff>165100</xdr:rowOff>
    </xdr:to>
    <xdr:pic>
      <xdr:nvPicPr>
        <xdr:cNvPr id="2" name="Picture 1">
          <a:extLst>
            <a:ext uri="{FF2B5EF4-FFF2-40B4-BE49-F238E27FC236}">
              <a16:creationId xmlns:a16="http://schemas.microsoft.com/office/drawing/2014/main" id="{21FBA74B-9E15-F3FA-71E5-6BDD855116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 y="7512050"/>
          <a:ext cx="11245850" cy="128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n.wikipedia.org/wiki/Failure_mode_and_effects_analysi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file:///\\filesrv\Public\Department%2099\Parallel%20Design_COMPLETE%20package_october2013\A3%20Technika%20prostredi%20staveb\A3.4%20Zarizeni%20pro%20mereni%20a%20regulaci\A3.4.1%20Technicka%20zprava\A3.4.1-5-ELI%20tabulka%20zarizeni%20na%20DA.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181F-71B1-43B3-88DC-4D21BBA591A7}">
  <sheetPr>
    <tabColor rgb="FF92D050"/>
  </sheetPr>
  <dimension ref="A3:U53"/>
  <sheetViews>
    <sheetView topLeftCell="A16" workbookViewId="0">
      <selection activeCell="E7" sqref="E7"/>
    </sheetView>
  </sheetViews>
  <sheetFormatPr defaultRowHeight="14.5" x14ac:dyDescent="0.35"/>
  <cols>
    <col min="1" max="1" width="8.7265625" customWidth="1"/>
    <col min="3" max="3" width="8.7265625" customWidth="1"/>
    <col min="5" max="5" width="8.7265625" customWidth="1"/>
  </cols>
  <sheetData>
    <row r="3" spans="1:21" ht="46" x14ac:dyDescent="1">
      <c r="L3" s="60" t="s">
        <v>645</v>
      </c>
      <c r="M3" s="60"/>
      <c r="N3" s="60"/>
      <c r="O3" s="60"/>
      <c r="P3" s="60"/>
      <c r="Q3" s="60"/>
      <c r="R3" s="60"/>
      <c r="S3" s="60"/>
      <c r="T3" s="60"/>
      <c r="U3" s="60"/>
    </row>
    <row r="4" spans="1:21" ht="16" x14ac:dyDescent="0.45">
      <c r="A4" s="56" t="s">
        <v>658</v>
      </c>
    </row>
    <row r="5" spans="1:21" ht="16" x14ac:dyDescent="0.45">
      <c r="A5" s="56" t="s">
        <v>659</v>
      </c>
    </row>
    <row r="7" spans="1:21" x14ac:dyDescent="0.35">
      <c r="A7" s="19"/>
    </row>
    <row r="8" spans="1:21" x14ac:dyDescent="0.35">
      <c r="A8" s="19"/>
    </row>
    <row r="9" spans="1:21" ht="16" x14ac:dyDescent="0.45">
      <c r="A9" s="56" t="s">
        <v>633</v>
      </c>
    </row>
    <row r="10" spans="1:21" x14ac:dyDescent="0.35">
      <c r="A10" s="19" t="s">
        <v>634</v>
      </c>
    </row>
    <row r="11" spans="1:21" x14ac:dyDescent="0.35">
      <c r="A11" s="19"/>
    </row>
    <row r="12" spans="1:21" x14ac:dyDescent="0.35">
      <c r="A12" s="19"/>
    </row>
    <row r="13" spans="1:21" x14ac:dyDescent="0.35">
      <c r="A13" s="19"/>
    </row>
    <row r="14" spans="1:21" x14ac:dyDescent="0.35">
      <c r="A14" s="19"/>
    </row>
    <row r="15" spans="1:21" x14ac:dyDescent="0.35">
      <c r="A15" s="19"/>
    </row>
    <row r="16" spans="1:21" x14ac:dyDescent="0.35">
      <c r="A16" s="19"/>
    </row>
    <row r="17" spans="1:2" x14ac:dyDescent="0.35">
      <c r="A17" s="19"/>
    </row>
    <row r="18" spans="1:2" x14ac:dyDescent="0.35">
      <c r="A18" s="19"/>
    </row>
    <row r="19" spans="1:2" x14ac:dyDescent="0.35">
      <c r="A19" s="19"/>
    </row>
    <row r="20" spans="1:2" x14ac:dyDescent="0.35">
      <c r="A20" s="19"/>
    </row>
    <row r="21" spans="1:2" x14ac:dyDescent="0.35">
      <c r="A21" s="19"/>
    </row>
    <row r="22" spans="1:2" x14ac:dyDescent="0.35">
      <c r="A22" s="19"/>
    </row>
    <row r="23" spans="1:2" x14ac:dyDescent="0.35">
      <c r="A23" s="19"/>
    </row>
    <row r="24" spans="1:2" x14ac:dyDescent="0.35">
      <c r="A24" s="19"/>
    </row>
    <row r="25" spans="1:2" x14ac:dyDescent="0.35">
      <c r="A25" s="19"/>
    </row>
    <row r="26" spans="1:2" x14ac:dyDescent="0.35">
      <c r="A26" s="19"/>
    </row>
    <row r="28" spans="1:2" ht="16" x14ac:dyDescent="0.45">
      <c r="A28" s="56" t="s">
        <v>635</v>
      </c>
    </row>
    <row r="29" spans="1:2" ht="16" x14ac:dyDescent="0.45">
      <c r="A29" s="56" t="s">
        <v>636</v>
      </c>
    </row>
    <row r="30" spans="1:2" ht="16" x14ac:dyDescent="0.45">
      <c r="B30" s="56" t="s">
        <v>638</v>
      </c>
    </row>
    <row r="31" spans="1:2" ht="16" x14ac:dyDescent="0.45">
      <c r="B31" s="56" t="s">
        <v>637</v>
      </c>
    </row>
    <row r="33" spans="1:1" ht="16" x14ac:dyDescent="0.45">
      <c r="A33" s="59" t="s">
        <v>639</v>
      </c>
    </row>
    <row r="34" spans="1:1" ht="16" x14ac:dyDescent="0.45">
      <c r="A34" s="56" t="s">
        <v>660</v>
      </c>
    </row>
    <row r="37" spans="1:1" ht="16" x14ac:dyDescent="0.45">
      <c r="A37" s="56" t="s">
        <v>640</v>
      </c>
    </row>
    <row r="50" spans="1:4" x14ac:dyDescent="0.35">
      <c r="A50" t="s">
        <v>628</v>
      </c>
      <c r="B50" t="s">
        <v>629</v>
      </c>
      <c r="C50" s="54" t="s">
        <v>641</v>
      </c>
      <c r="D50" s="54"/>
    </row>
    <row r="51" spans="1:4" x14ac:dyDescent="0.35">
      <c r="B51" t="s">
        <v>630</v>
      </c>
      <c r="C51" s="55" t="s">
        <v>642</v>
      </c>
      <c r="D51" s="55"/>
    </row>
    <row r="52" spans="1:4" x14ac:dyDescent="0.35">
      <c r="B52" t="s">
        <v>631</v>
      </c>
      <c r="C52" s="5" t="s">
        <v>643</v>
      </c>
      <c r="D52" s="5"/>
    </row>
    <row r="53" spans="1:4" x14ac:dyDescent="0.35">
      <c r="B53" t="s">
        <v>632</v>
      </c>
      <c r="C53" s="51" t="s">
        <v>644</v>
      </c>
      <c r="D53" s="51"/>
    </row>
  </sheetData>
  <mergeCells count="1">
    <mergeCell ref="L3:U3"/>
  </mergeCells>
  <hyperlinks>
    <hyperlink ref="A10" r:id="rId1" xr:uid="{06EBCC24-AC5B-45B3-ADC1-B2E7146B2C4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AB3B-B7FE-4107-8EBF-1D08C1C10AD2}">
  <sheetPr>
    <tabColor rgb="FF92D050"/>
  </sheetPr>
  <dimension ref="A1:S96"/>
  <sheetViews>
    <sheetView tabSelected="1" topLeftCell="E1" zoomScale="90" zoomScaleNormal="90" workbookViewId="0">
      <pane ySplit="1" topLeftCell="A60" activePane="bottomLeft" state="frozen"/>
      <selection pane="bottomLeft" activeCell="R83" sqref="R83"/>
    </sheetView>
  </sheetViews>
  <sheetFormatPr defaultRowHeight="14.5" outlineLevelRow="1" x14ac:dyDescent="0.35"/>
  <cols>
    <col min="1" max="1" width="3.6328125" customWidth="1"/>
    <col min="2" max="2" width="12.6328125" customWidth="1"/>
    <col min="3" max="3" width="15.36328125" customWidth="1"/>
    <col min="4" max="4" width="28.7265625" style="1" customWidth="1"/>
    <col min="5" max="5" width="29.08984375" style="1" customWidth="1"/>
    <col min="6" max="6" width="2.81640625" customWidth="1"/>
    <col min="7" max="7" width="32.7265625" style="1" customWidth="1"/>
    <col min="8" max="8" width="2.81640625" customWidth="1"/>
    <col min="9" max="9" width="21.08984375" style="1" bestFit="1" customWidth="1"/>
    <col min="10" max="10" width="13.81640625" style="1" customWidth="1"/>
    <col min="11" max="11" width="2.81640625" bestFit="1" customWidth="1"/>
    <col min="12" max="12" width="4.453125" bestFit="1" customWidth="1"/>
    <col min="13" max="13" width="25.26953125" customWidth="1"/>
    <col min="14" max="14" width="8.7265625" customWidth="1"/>
    <col min="15" max="15" width="35.08984375" customWidth="1"/>
    <col min="16" max="16" width="6.54296875" customWidth="1"/>
    <col min="17" max="17" width="4.7265625" customWidth="1"/>
    <col min="18" max="18" width="4.453125" bestFit="1" customWidth="1"/>
    <col min="19" max="19" width="103.08984375" customWidth="1"/>
  </cols>
  <sheetData>
    <row r="1" spans="1:19" ht="145" customHeight="1" thickBot="1" x14ac:dyDescent="0.4">
      <c r="A1" s="7" t="s">
        <v>809</v>
      </c>
      <c r="B1" s="61" t="s">
        <v>808</v>
      </c>
      <c r="C1" s="62"/>
      <c r="D1" s="8" t="s">
        <v>807</v>
      </c>
      <c r="E1" s="9" t="s">
        <v>806</v>
      </c>
      <c r="F1" s="10" t="s">
        <v>805</v>
      </c>
      <c r="G1" s="8" t="s">
        <v>804</v>
      </c>
      <c r="H1" s="10" t="s">
        <v>798</v>
      </c>
      <c r="I1" s="9" t="s">
        <v>803</v>
      </c>
      <c r="J1" s="9" t="s">
        <v>802</v>
      </c>
      <c r="K1" s="10" t="s">
        <v>797</v>
      </c>
      <c r="L1" s="9" t="s">
        <v>0</v>
      </c>
      <c r="M1" s="9" t="s">
        <v>801</v>
      </c>
      <c r="N1" s="9" t="s">
        <v>800</v>
      </c>
      <c r="O1" s="9" t="s">
        <v>799</v>
      </c>
      <c r="P1" s="8" t="s">
        <v>798</v>
      </c>
      <c r="Q1" s="11" t="s">
        <v>797</v>
      </c>
      <c r="R1" s="9" t="s">
        <v>1</v>
      </c>
      <c r="S1" s="6" t="s">
        <v>796</v>
      </c>
    </row>
    <row r="2" spans="1:19" ht="14.5" customHeight="1" x14ac:dyDescent="0.35">
      <c r="A2" s="12"/>
      <c r="B2" s="22" t="s">
        <v>792</v>
      </c>
      <c r="C2" s="22"/>
      <c r="D2" s="48"/>
      <c r="E2" s="44"/>
      <c r="F2" s="17"/>
      <c r="G2" s="44"/>
      <c r="H2" s="17"/>
      <c r="I2" s="16"/>
      <c r="J2" s="16"/>
      <c r="K2" s="17"/>
      <c r="L2" s="49">
        <f>MAX(L3:L5)</f>
        <v>6</v>
      </c>
      <c r="M2" s="16"/>
      <c r="N2" s="16"/>
      <c r="O2" s="16"/>
      <c r="P2" s="15"/>
      <c r="Q2" s="18"/>
      <c r="R2" s="49"/>
      <c r="S2" s="12"/>
    </row>
    <row r="3" spans="1:19" ht="43.5" outlineLevel="1" x14ac:dyDescent="0.35">
      <c r="A3" s="14"/>
      <c r="B3" s="22" t="s">
        <v>792</v>
      </c>
      <c r="C3" s="22"/>
      <c r="D3" s="45" t="s">
        <v>795</v>
      </c>
      <c r="E3" s="45" t="s">
        <v>794</v>
      </c>
      <c r="F3" s="3">
        <v>1</v>
      </c>
      <c r="G3" s="46" t="s">
        <v>716</v>
      </c>
      <c r="H3" s="3">
        <v>1</v>
      </c>
      <c r="I3" s="41" t="s">
        <v>704</v>
      </c>
      <c r="J3" s="41" t="s">
        <v>834</v>
      </c>
      <c r="K3" s="4">
        <v>1</v>
      </c>
      <c r="L3" s="49">
        <f t="shared" ref="L3:L5" si="0">IFERROR(F3*H3*K3,)</f>
        <v>1</v>
      </c>
      <c r="M3" s="4"/>
      <c r="N3" s="2"/>
      <c r="O3" s="2"/>
      <c r="P3" s="2"/>
      <c r="Q3" s="2"/>
      <c r="R3" s="49"/>
      <c r="S3" s="23" t="s">
        <v>704</v>
      </c>
    </row>
    <row r="4" spans="1:19" ht="43.5" outlineLevel="1" x14ac:dyDescent="0.35">
      <c r="A4" s="14"/>
      <c r="B4" s="22" t="s">
        <v>792</v>
      </c>
      <c r="C4" s="22"/>
      <c r="D4" s="45" t="s">
        <v>671</v>
      </c>
      <c r="E4" s="45" t="s">
        <v>793</v>
      </c>
      <c r="F4" s="3">
        <v>1</v>
      </c>
      <c r="G4" s="50" t="s">
        <v>813</v>
      </c>
      <c r="H4" s="3">
        <v>3</v>
      </c>
      <c r="I4" s="41" t="s">
        <v>822</v>
      </c>
      <c r="J4" s="41" t="s">
        <v>834</v>
      </c>
      <c r="K4" s="4">
        <v>1</v>
      </c>
      <c r="L4" s="49">
        <f t="shared" si="0"/>
        <v>3</v>
      </c>
      <c r="M4" s="4"/>
      <c r="N4" s="2"/>
      <c r="O4" s="2"/>
      <c r="P4" s="2"/>
      <c r="Q4" s="2"/>
      <c r="R4" s="49"/>
      <c r="S4" s="23" t="s">
        <v>714</v>
      </c>
    </row>
    <row r="5" spans="1:19" ht="29" outlineLevel="1" x14ac:dyDescent="0.35">
      <c r="A5" s="14"/>
      <c r="B5" s="22" t="s">
        <v>792</v>
      </c>
      <c r="C5" s="22"/>
      <c r="D5" s="45" t="s">
        <v>671</v>
      </c>
      <c r="E5" s="45" t="s">
        <v>793</v>
      </c>
      <c r="F5" s="3">
        <v>1</v>
      </c>
      <c r="G5" s="50" t="s">
        <v>670</v>
      </c>
      <c r="H5" s="3">
        <v>3</v>
      </c>
      <c r="I5" s="41" t="s">
        <v>2</v>
      </c>
      <c r="J5" s="41" t="s">
        <v>662</v>
      </c>
      <c r="K5" s="4">
        <v>2</v>
      </c>
      <c r="L5" s="49">
        <f t="shared" si="0"/>
        <v>6</v>
      </c>
      <c r="M5" s="4"/>
      <c r="N5" s="2"/>
      <c r="O5" s="2"/>
      <c r="P5" s="2"/>
      <c r="Q5" s="2"/>
      <c r="R5" s="49"/>
      <c r="S5" s="23" t="s">
        <v>712</v>
      </c>
    </row>
    <row r="6" spans="1:19" x14ac:dyDescent="0.35">
      <c r="B6" s="22" t="s">
        <v>787</v>
      </c>
      <c r="C6" s="22"/>
      <c r="D6" s="45"/>
      <c r="E6" s="45"/>
      <c r="F6" s="3"/>
      <c r="G6" s="45"/>
      <c r="H6" s="3"/>
      <c r="I6" s="41"/>
      <c r="J6" s="41"/>
      <c r="K6" s="2"/>
      <c r="L6" s="49">
        <f>MAX(L7:L10)</f>
        <v>15</v>
      </c>
      <c r="M6" s="4"/>
      <c r="N6" s="2"/>
      <c r="O6" s="2"/>
      <c r="P6" s="2"/>
      <c r="Q6" s="2"/>
      <c r="R6" s="49"/>
    </row>
    <row r="7" spans="1:19" ht="29" outlineLevel="1" x14ac:dyDescent="0.35">
      <c r="B7" s="22" t="s">
        <v>787</v>
      </c>
      <c r="C7" s="22"/>
      <c r="D7" s="45" t="s">
        <v>673</v>
      </c>
      <c r="E7" s="45" t="s">
        <v>791</v>
      </c>
      <c r="F7" s="3">
        <v>1</v>
      </c>
      <c r="G7" s="45" t="s">
        <v>672</v>
      </c>
      <c r="H7" s="3">
        <v>3</v>
      </c>
      <c r="I7" s="41"/>
      <c r="J7" s="41" t="s">
        <v>662</v>
      </c>
      <c r="K7" s="4">
        <v>5</v>
      </c>
      <c r="L7" s="49">
        <f t="shared" ref="L7:L10" si="1">IFERROR(F7*H7*K7,)</f>
        <v>15</v>
      </c>
      <c r="M7" s="4"/>
      <c r="N7" s="2"/>
      <c r="O7" s="2"/>
      <c r="P7" s="2"/>
      <c r="Q7" s="2"/>
      <c r="R7" s="49"/>
    </row>
    <row r="8" spans="1:19" outlineLevel="1" x14ac:dyDescent="0.35">
      <c r="B8" s="22" t="s">
        <v>787</v>
      </c>
      <c r="C8" s="22"/>
      <c r="D8" s="45" t="s">
        <v>671</v>
      </c>
      <c r="E8" s="45" t="s">
        <v>790</v>
      </c>
      <c r="F8" s="3">
        <v>1</v>
      </c>
      <c r="G8" s="45" t="s">
        <v>813</v>
      </c>
      <c r="H8" s="3">
        <v>3</v>
      </c>
      <c r="I8" s="41"/>
      <c r="J8" s="41" t="s">
        <v>662</v>
      </c>
      <c r="K8" s="4">
        <v>5</v>
      </c>
      <c r="L8" s="49">
        <f t="shared" si="1"/>
        <v>15</v>
      </c>
      <c r="M8" s="4"/>
      <c r="N8" s="2"/>
      <c r="O8" s="2"/>
      <c r="P8" s="2"/>
      <c r="Q8" s="2"/>
      <c r="R8" s="49"/>
    </row>
    <row r="9" spans="1:19" ht="29" outlineLevel="1" x14ac:dyDescent="0.35">
      <c r="B9" s="22" t="s">
        <v>787</v>
      </c>
      <c r="C9" s="22"/>
      <c r="D9" s="45" t="s">
        <v>671</v>
      </c>
      <c r="E9" s="45" t="s">
        <v>789</v>
      </c>
      <c r="F9" s="3">
        <v>1</v>
      </c>
      <c r="G9" s="45" t="s">
        <v>670</v>
      </c>
      <c r="H9" s="3">
        <v>3</v>
      </c>
      <c r="I9" s="41" t="s">
        <v>2</v>
      </c>
      <c r="J9" s="41" t="s">
        <v>662</v>
      </c>
      <c r="K9" s="4">
        <v>5</v>
      </c>
      <c r="L9" s="49">
        <f t="shared" si="1"/>
        <v>15</v>
      </c>
      <c r="M9" s="4"/>
      <c r="N9" s="2"/>
      <c r="O9" s="2"/>
      <c r="P9" s="2"/>
      <c r="Q9" s="2"/>
      <c r="R9" s="49"/>
    </row>
    <row r="10" spans="1:19" ht="29" outlineLevel="1" x14ac:dyDescent="0.35">
      <c r="B10" s="22" t="s">
        <v>787</v>
      </c>
      <c r="C10" s="22"/>
      <c r="D10" s="45" t="s">
        <v>668</v>
      </c>
      <c r="E10" s="45" t="s">
        <v>788</v>
      </c>
      <c r="F10" s="2">
        <v>3</v>
      </c>
      <c r="G10" s="45" t="s">
        <v>666</v>
      </c>
      <c r="H10" s="2">
        <v>1</v>
      </c>
      <c r="I10" s="41" t="s">
        <v>665</v>
      </c>
      <c r="J10" s="41" t="s">
        <v>2</v>
      </c>
      <c r="K10" s="2">
        <v>4</v>
      </c>
      <c r="L10" s="49">
        <f t="shared" si="1"/>
        <v>12</v>
      </c>
      <c r="M10" s="4"/>
      <c r="N10" s="2"/>
      <c r="O10" s="2"/>
      <c r="P10" s="2"/>
      <c r="Q10" s="2"/>
      <c r="R10" s="49"/>
    </row>
    <row r="11" spans="1:19" x14ac:dyDescent="0.35">
      <c r="B11" s="22" t="s">
        <v>785</v>
      </c>
      <c r="C11" s="22"/>
      <c r="D11" s="45"/>
      <c r="E11" s="45"/>
      <c r="F11" s="2"/>
      <c r="G11" s="45"/>
      <c r="H11" s="2"/>
      <c r="I11" s="41"/>
      <c r="J11" s="41"/>
      <c r="K11" s="2"/>
      <c r="L11" s="49">
        <f>MAX(L12:L16)</f>
        <v>60</v>
      </c>
      <c r="M11" s="4"/>
      <c r="N11" s="2"/>
      <c r="O11" s="2"/>
      <c r="P11" s="2"/>
      <c r="Q11" s="2"/>
      <c r="R11" s="49"/>
    </row>
    <row r="12" spans="1:19" ht="43.5" outlineLevel="1" x14ac:dyDescent="0.35">
      <c r="B12" s="22" t="s">
        <v>785</v>
      </c>
      <c r="C12" s="22" t="s">
        <v>812</v>
      </c>
      <c r="D12" s="45" t="s">
        <v>779</v>
      </c>
      <c r="E12" s="45" t="s">
        <v>778</v>
      </c>
      <c r="F12" s="2">
        <v>5</v>
      </c>
      <c r="G12" s="45" t="s">
        <v>810</v>
      </c>
      <c r="H12" s="3">
        <v>2</v>
      </c>
      <c r="I12" s="41" t="s">
        <v>663</v>
      </c>
      <c r="J12" s="41"/>
      <c r="K12" s="4">
        <v>5</v>
      </c>
      <c r="L12" s="49">
        <f t="shared" ref="L12:L16" si="2">IFERROR(F12*H12*K12,)</f>
        <v>50</v>
      </c>
      <c r="M12" s="4" t="s">
        <v>811</v>
      </c>
      <c r="N12" s="2" t="s">
        <v>826</v>
      </c>
      <c r="O12" s="2"/>
      <c r="P12" s="2"/>
      <c r="Q12" s="2"/>
      <c r="R12" s="49"/>
    </row>
    <row r="13" spans="1:19" ht="43.5" outlineLevel="1" x14ac:dyDescent="0.35">
      <c r="B13" s="22" t="s">
        <v>785</v>
      </c>
      <c r="C13" s="22"/>
      <c r="D13" s="45" t="s">
        <v>673</v>
      </c>
      <c r="E13" s="45" t="s">
        <v>786</v>
      </c>
      <c r="F13" s="3">
        <v>4</v>
      </c>
      <c r="G13" s="45" t="s">
        <v>672</v>
      </c>
      <c r="H13" s="3">
        <v>2</v>
      </c>
      <c r="I13" s="41" t="s">
        <v>784</v>
      </c>
      <c r="J13" s="41" t="s">
        <v>662</v>
      </c>
      <c r="K13" s="4">
        <v>5</v>
      </c>
      <c r="L13" s="49">
        <f t="shared" si="2"/>
        <v>40</v>
      </c>
      <c r="M13" s="4" t="s">
        <v>823</v>
      </c>
      <c r="N13" s="3" t="s">
        <v>824</v>
      </c>
      <c r="O13" s="3" t="s">
        <v>825</v>
      </c>
      <c r="P13" s="2">
        <v>1</v>
      </c>
      <c r="Q13" s="2">
        <v>1</v>
      </c>
      <c r="R13" s="49">
        <f>F13*P13*Q13</f>
        <v>4</v>
      </c>
    </row>
    <row r="14" spans="1:19" ht="72.5" outlineLevel="1" x14ac:dyDescent="0.35">
      <c r="B14" s="22" t="s">
        <v>785</v>
      </c>
      <c r="C14" s="22"/>
      <c r="D14" s="45" t="s">
        <v>671</v>
      </c>
      <c r="E14" s="45" t="s">
        <v>783</v>
      </c>
      <c r="F14" s="3">
        <v>4</v>
      </c>
      <c r="G14" s="45" t="s">
        <v>813</v>
      </c>
      <c r="H14" s="3">
        <v>3</v>
      </c>
      <c r="I14" s="41" t="s">
        <v>814</v>
      </c>
      <c r="J14" s="41" t="s">
        <v>662</v>
      </c>
      <c r="K14" s="4">
        <v>5</v>
      </c>
      <c r="L14" s="49">
        <f t="shared" si="2"/>
        <v>60</v>
      </c>
      <c r="M14" s="4" t="s">
        <v>827</v>
      </c>
      <c r="N14" s="2"/>
      <c r="O14" s="2"/>
      <c r="P14" s="2"/>
      <c r="Q14" s="2"/>
      <c r="R14" s="49">
        <f t="shared" ref="R14:R15" si="3">F14*P14*Q14</f>
        <v>0</v>
      </c>
    </row>
    <row r="15" spans="1:19" ht="113.5" customHeight="1" outlineLevel="1" x14ac:dyDescent="0.35">
      <c r="B15" s="22" t="s">
        <v>785</v>
      </c>
      <c r="C15" s="22"/>
      <c r="D15" s="45" t="s">
        <v>671</v>
      </c>
      <c r="E15" s="45" t="s">
        <v>782</v>
      </c>
      <c r="F15" s="3">
        <v>5</v>
      </c>
      <c r="G15" s="45" t="s">
        <v>670</v>
      </c>
      <c r="H15" s="3">
        <v>2</v>
      </c>
      <c r="I15" s="41" t="s">
        <v>2</v>
      </c>
      <c r="J15" s="41" t="s">
        <v>662</v>
      </c>
      <c r="K15" s="4">
        <v>5</v>
      </c>
      <c r="L15" s="49">
        <f t="shared" si="2"/>
        <v>50</v>
      </c>
      <c r="M15" s="4" t="s">
        <v>829</v>
      </c>
      <c r="N15" s="2" t="s">
        <v>828</v>
      </c>
      <c r="O15" s="3" t="s">
        <v>830</v>
      </c>
      <c r="P15" s="2">
        <v>1</v>
      </c>
      <c r="Q15" s="2">
        <v>1</v>
      </c>
      <c r="R15" s="49">
        <f t="shared" si="3"/>
        <v>5</v>
      </c>
    </row>
    <row r="16" spans="1:19" ht="29" outlineLevel="1" x14ac:dyDescent="0.35">
      <c r="B16" s="22" t="s">
        <v>785</v>
      </c>
      <c r="C16" s="22"/>
      <c r="D16" s="45" t="s">
        <v>668</v>
      </c>
      <c r="E16" s="45" t="s">
        <v>780</v>
      </c>
      <c r="F16" s="2">
        <v>5</v>
      </c>
      <c r="G16" s="45" t="s">
        <v>666</v>
      </c>
      <c r="H16" s="2">
        <v>1</v>
      </c>
      <c r="I16" s="41" t="s">
        <v>665</v>
      </c>
      <c r="J16" s="41" t="s">
        <v>2</v>
      </c>
      <c r="K16" s="2">
        <v>4</v>
      </c>
      <c r="L16" s="49">
        <f t="shared" si="2"/>
        <v>20</v>
      </c>
      <c r="M16" s="4"/>
      <c r="N16" s="2"/>
      <c r="O16" s="2"/>
      <c r="P16" s="2"/>
      <c r="Q16" s="2"/>
      <c r="R16" s="49"/>
    </row>
    <row r="17" spans="1:19" ht="14.5" customHeight="1" x14ac:dyDescent="0.35">
      <c r="A17" s="14"/>
      <c r="B17" s="22" t="s">
        <v>777</v>
      </c>
      <c r="C17" s="22"/>
      <c r="D17" s="45"/>
      <c r="E17" s="45"/>
      <c r="F17" s="2"/>
      <c r="G17" s="45"/>
      <c r="H17" s="2"/>
      <c r="I17" s="41"/>
      <c r="J17" s="41"/>
      <c r="K17" s="2"/>
      <c r="L17" s="49">
        <f>MAX(L18:L23)</f>
        <v>60</v>
      </c>
      <c r="M17" s="2"/>
      <c r="N17" s="2"/>
      <c r="O17" s="2"/>
      <c r="P17" s="2"/>
      <c r="Q17" s="2"/>
      <c r="R17" s="49"/>
    </row>
    <row r="18" spans="1:19" ht="43.5" outlineLevel="1" x14ac:dyDescent="0.35">
      <c r="A18" s="14"/>
      <c r="B18" s="22" t="s">
        <v>777</v>
      </c>
      <c r="C18" s="22" t="s">
        <v>812</v>
      </c>
      <c r="D18" s="45" t="s">
        <v>779</v>
      </c>
      <c r="E18" s="45" t="s">
        <v>778</v>
      </c>
      <c r="F18" s="2">
        <v>5</v>
      </c>
      <c r="G18" s="45" t="s">
        <v>694</v>
      </c>
      <c r="H18" s="3">
        <v>2</v>
      </c>
      <c r="I18" s="41" t="s">
        <v>663</v>
      </c>
      <c r="J18" s="41"/>
      <c r="K18" s="4">
        <v>5</v>
      </c>
      <c r="L18" s="49">
        <f t="shared" ref="L18:L23" si="4">IFERROR(F18*H18*K18,)</f>
        <v>50</v>
      </c>
      <c r="M18" s="4" t="s">
        <v>811</v>
      </c>
      <c r="N18" s="2" t="s">
        <v>826</v>
      </c>
      <c r="O18" s="2"/>
      <c r="P18" s="2"/>
      <c r="Q18" s="2"/>
      <c r="R18" s="49"/>
    </row>
    <row r="19" spans="1:19" ht="43.5" outlineLevel="1" x14ac:dyDescent="0.35">
      <c r="A19" s="14"/>
      <c r="B19" s="22" t="s">
        <v>777</v>
      </c>
      <c r="C19" s="22"/>
      <c r="D19" s="45" t="s">
        <v>673</v>
      </c>
      <c r="E19" s="45" t="s">
        <v>705</v>
      </c>
      <c r="F19" s="3">
        <v>4</v>
      </c>
      <c r="G19" s="45" t="s">
        <v>672</v>
      </c>
      <c r="H19" s="3">
        <v>2</v>
      </c>
      <c r="I19" s="41" t="s">
        <v>784</v>
      </c>
      <c r="J19" s="41" t="s">
        <v>662</v>
      </c>
      <c r="K19" s="4">
        <v>5</v>
      </c>
      <c r="L19" s="49">
        <f t="shared" si="4"/>
        <v>40</v>
      </c>
      <c r="M19" s="4" t="s">
        <v>823</v>
      </c>
      <c r="N19" s="3" t="s">
        <v>824</v>
      </c>
      <c r="O19" s="3" t="s">
        <v>825</v>
      </c>
      <c r="P19" s="2">
        <v>1</v>
      </c>
      <c r="Q19" s="2">
        <v>1</v>
      </c>
      <c r="R19" s="49">
        <f>F19*P19*Q19</f>
        <v>4</v>
      </c>
    </row>
    <row r="20" spans="1:19" ht="72.5" outlineLevel="1" x14ac:dyDescent="0.35">
      <c r="A20" s="14"/>
      <c r="B20" s="22" t="s">
        <v>777</v>
      </c>
      <c r="C20" s="22"/>
      <c r="D20" s="45" t="s">
        <v>671</v>
      </c>
      <c r="E20" s="45" t="s">
        <v>783</v>
      </c>
      <c r="F20" s="3">
        <v>4</v>
      </c>
      <c r="G20" s="45" t="s">
        <v>813</v>
      </c>
      <c r="H20" s="3">
        <v>3</v>
      </c>
      <c r="I20" s="41" t="s">
        <v>814</v>
      </c>
      <c r="J20" s="41" t="s">
        <v>662</v>
      </c>
      <c r="K20" s="4">
        <v>5</v>
      </c>
      <c r="L20" s="49">
        <f t="shared" si="4"/>
        <v>60</v>
      </c>
      <c r="M20" s="4" t="s">
        <v>827</v>
      </c>
      <c r="N20" s="2"/>
      <c r="O20" s="2"/>
      <c r="P20" s="2"/>
      <c r="Q20" s="2"/>
      <c r="R20" s="49"/>
      <c r="S20" t="s">
        <v>815</v>
      </c>
    </row>
    <row r="21" spans="1:19" ht="101.5" outlineLevel="1" x14ac:dyDescent="0.35">
      <c r="A21" s="14"/>
      <c r="B21" s="22" t="s">
        <v>777</v>
      </c>
      <c r="C21" s="22"/>
      <c r="D21" s="45" t="s">
        <v>671</v>
      </c>
      <c r="E21" s="45" t="s">
        <v>782</v>
      </c>
      <c r="F21" s="3">
        <v>5</v>
      </c>
      <c r="G21" s="45" t="s">
        <v>670</v>
      </c>
      <c r="H21" s="3">
        <v>2</v>
      </c>
      <c r="I21" s="41" t="s">
        <v>2</v>
      </c>
      <c r="J21" s="41" t="s">
        <v>662</v>
      </c>
      <c r="K21" s="4">
        <v>5</v>
      </c>
      <c r="L21" s="49">
        <f t="shared" si="4"/>
        <v>50</v>
      </c>
      <c r="M21" s="4" t="s">
        <v>829</v>
      </c>
      <c r="N21" s="2" t="s">
        <v>828</v>
      </c>
      <c r="O21" s="3" t="s">
        <v>830</v>
      </c>
      <c r="P21" s="2">
        <v>1</v>
      </c>
      <c r="Q21" s="2">
        <v>1</v>
      </c>
      <c r="R21" s="49">
        <f t="shared" ref="R21" si="5">F21*P21*Q21</f>
        <v>5</v>
      </c>
      <c r="S21" t="s">
        <v>781</v>
      </c>
    </row>
    <row r="22" spans="1:19" ht="29" outlineLevel="1" x14ac:dyDescent="0.35">
      <c r="A22" s="14"/>
      <c r="B22" s="22" t="s">
        <v>777</v>
      </c>
      <c r="C22" s="22"/>
      <c r="D22" s="45" t="s">
        <v>668</v>
      </c>
      <c r="E22" s="45" t="s">
        <v>780</v>
      </c>
      <c r="F22" s="2">
        <v>5</v>
      </c>
      <c r="G22" s="45" t="s">
        <v>666</v>
      </c>
      <c r="H22" s="2">
        <v>1</v>
      </c>
      <c r="I22" s="41" t="s">
        <v>665</v>
      </c>
      <c r="J22" s="41" t="s">
        <v>2</v>
      </c>
      <c r="K22" s="2">
        <v>4</v>
      </c>
      <c r="L22" s="49">
        <f t="shared" si="4"/>
        <v>20</v>
      </c>
      <c r="M22" s="2"/>
      <c r="N22" s="2"/>
      <c r="O22" s="2"/>
      <c r="P22" s="2"/>
      <c r="Q22" s="2"/>
      <c r="R22" s="49"/>
      <c r="S22" t="s">
        <v>664</v>
      </c>
    </row>
    <row r="23" spans="1:19" ht="43.5" outlineLevel="1" x14ac:dyDescent="0.35">
      <c r="A23" s="14"/>
      <c r="B23" s="22" t="s">
        <v>777</v>
      </c>
      <c r="C23" s="22"/>
      <c r="D23" s="45" t="s">
        <v>779</v>
      </c>
      <c r="E23" s="45" t="s">
        <v>778</v>
      </c>
      <c r="F23" s="2">
        <v>2</v>
      </c>
      <c r="G23" s="45" t="s">
        <v>694</v>
      </c>
      <c r="H23" s="3">
        <v>3</v>
      </c>
      <c r="I23" s="41" t="s">
        <v>663</v>
      </c>
      <c r="J23" s="41"/>
      <c r="K23" s="4">
        <v>5</v>
      </c>
      <c r="L23" s="49">
        <f t="shared" si="4"/>
        <v>30</v>
      </c>
      <c r="M23" s="4" t="s">
        <v>811</v>
      </c>
      <c r="N23" s="2" t="s">
        <v>826</v>
      </c>
      <c r="O23" s="2"/>
      <c r="P23" s="2"/>
      <c r="Q23" s="2"/>
      <c r="R23" s="49"/>
    </row>
    <row r="24" spans="1:19" x14ac:dyDescent="0.35">
      <c r="B24" s="22" t="s">
        <v>776</v>
      </c>
      <c r="C24" s="22"/>
      <c r="D24" s="45"/>
      <c r="E24" s="45"/>
      <c r="F24" s="3"/>
      <c r="G24" s="45"/>
      <c r="H24" s="3"/>
      <c r="I24" s="41"/>
      <c r="J24" s="41"/>
      <c r="K24" s="4"/>
      <c r="L24" s="49">
        <f>MAX(L25:L28)</f>
        <v>30</v>
      </c>
      <c r="M24" s="4"/>
      <c r="N24" s="2"/>
      <c r="O24" s="2"/>
      <c r="P24" s="2"/>
      <c r="Q24" s="2"/>
      <c r="R24" s="49"/>
    </row>
    <row r="25" spans="1:19" ht="29" outlineLevel="1" x14ac:dyDescent="0.35">
      <c r="A25" s="14"/>
      <c r="B25" s="22" t="s">
        <v>776</v>
      </c>
      <c r="C25" s="22"/>
      <c r="D25" s="45" t="s">
        <v>673</v>
      </c>
      <c r="E25" s="45"/>
      <c r="F25" s="3">
        <v>4</v>
      </c>
      <c r="G25" s="45" t="s">
        <v>672</v>
      </c>
      <c r="H25" s="3">
        <v>3</v>
      </c>
      <c r="I25"/>
      <c r="J25" s="41" t="s">
        <v>831</v>
      </c>
      <c r="K25" s="4">
        <v>2</v>
      </c>
      <c r="L25" s="49">
        <f t="shared" ref="L25:L28" si="6">IFERROR(F25*H25*K25,)</f>
        <v>24</v>
      </c>
      <c r="N25" s="2"/>
      <c r="O25" s="2"/>
      <c r="P25" s="2"/>
      <c r="Q25" s="2"/>
      <c r="R25" s="49"/>
      <c r="S25" s="21"/>
    </row>
    <row r="26" spans="1:19" ht="29" outlineLevel="1" x14ac:dyDescent="0.35">
      <c r="A26" s="14"/>
      <c r="B26" s="22" t="s">
        <v>776</v>
      </c>
      <c r="C26" s="22"/>
      <c r="D26" s="45" t="s">
        <v>671</v>
      </c>
      <c r="E26" s="45"/>
      <c r="F26" s="3">
        <v>5</v>
      </c>
      <c r="G26" s="45" t="s">
        <v>813</v>
      </c>
      <c r="H26" s="3">
        <v>3</v>
      </c>
      <c r="I26" s="41"/>
      <c r="J26" s="41" t="s">
        <v>831</v>
      </c>
      <c r="K26" s="4">
        <v>2</v>
      </c>
      <c r="L26" s="49">
        <f t="shared" si="6"/>
        <v>30</v>
      </c>
      <c r="M26" s="4"/>
      <c r="N26" s="2"/>
      <c r="O26" s="2"/>
      <c r="P26" s="2"/>
      <c r="Q26" s="2"/>
      <c r="R26" s="49"/>
      <c r="S26" s="21"/>
    </row>
    <row r="27" spans="1:19" ht="29" outlineLevel="1" x14ac:dyDescent="0.35">
      <c r="A27" s="14"/>
      <c r="B27" s="22" t="s">
        <v>776</v>
      </c>
      <c r="C27" s="22"/>
      <c r="D27" s="45"/>
      <c r="E27" s="45"/>
      <c r="F27" s="3">
        <v>5</v>
      </c>
      <c r="G27" s="45" t="s">
        <v>670</v>
      </c>
      <c r="H27" s="3">
        <v>3</v>
      </c>
      <c r="I27" s="41"/>
      <c r="J27" s="41" t="s">
        <v>831</v>
      </c>
      <c r="K27" s="4">
        <v>2</v>
      </c>
      <c r="L27" s="49">
        <f t="shared" si="6"/>
        <v>30</v>
      </c>
      <c r="M27" s="4"/>
      <c r="N27" s="2"/>
      <c r="O27" s="2"/>
      <c r="P27" s="2"/>
      <c r="Q27" s="2"/>
      <c r="R27" s="49"/>
      <c r="S27" s="21"/>
    </row>
    <row r="28" spans="1:19" ht="29" outlineLevel="1" x14ac:dyDescent="0.35">
      <c r="A28" s="14"/>
      <c r="B28" s="22" t="s">
        <v>776</v>
      </c>
      <c r="C28" s="22"/>
      <c r="D28" s="45" t="s">
        <v>668</v>
      </c>
      <c r="E28" s="45" t="s">
        <v>755</v>
      </c>
      <c r="F28" s="2">
        <v>5</v>
      </c>
      <c r="G28" s="45" t="s">
        <v>666</v>
      </c>
      <c r="H28" s="2">
        <v>1</v>
      </c>
      <c r="I28" s="41" t="s">
        <v>665</v>
      </c>
      <c r="J28" s="41" t="s">
        <v>2</v>
      </c>
      <c r="K28" s="2">
        <v>4</v>
      </c>
      <c r="L28" s="49">
        <f t="shared" si="6"/>
        <v>20</v>
      </c>
      <c r="M28" s="2"/>
      <c r="N28" s="2"/>
      <c r="O28" s="2"/>
      <c r="P28" s="2"/>
      <c r="Q28" s="2"/>
      <c r="R28" s="49"/>
      <c r="S28" t="s">
        <v>664</v>
      </c>
    </row>
    <row r="29" spans="1:19" x14ac:dyDescent="0.35">
      <c r="A29" s="14"/>
      <c r="B29" s="22" t="s">
        <v>720</v>
      </c>
      <c r="C29" s="22"/>
      <c r="D29" s="45"/>
      <c r="E29" s="45"/>
      <c r="F29" s="2"/>
      <c r="G29" s="45"/>
      <c r="H29" s="2"/>
      <c r="I29" s="41"/>
      <c r="J29" s="41"/>
      <c r="K29" s="2"/>
      <c r="L29" s="49">
        <f>MAX(L30:L51)</f>
        <v>50</v>
      </c>
      <c r="M29" s="2"/>
      <c r="N29" s="2"/>
      <c r="O29" s="2"/>
      <c r="P29" s="2"/>
      <c r="Q29" s="2"/>
      <c r="R29" s="49"/>
    </row>
    <row r="30" spans="1:19" ht="58" outlineLevel="1" x14ac:dyDescent="0.35">
      <c r="A30" s="14"/>
      <c r="B30" s="53" t="s">
        <v>720</v>
      </c>
      <c r="C30" s="22" t="s">
        <v>661</v>
      </c>
      <c r="D30" s="45" t="s">
        <v>3</v>
      </c>
      <c r="E30" s="45" t="s">
        <v>771</v>
      </c>
      <c r="F30" s="3">
        <v>2</v>
      </c>
      <c r="G30" s="45" t="s">
        <v>775</v>
      </c>
      <c r="H30" s="3">
        <v>4</v>
      </c>
      <c r="I30" s="41" t="s">
        <v>774</v>
      </c>
      <c r="J30" s="41" t="s">
        <v>2</v>
      </c>
      <c r="K30" s="4">
        <v>3</v>
      </c>
      <c r="L30" s="49">
        <f t="shared" ref="L30:L51" si="7">IFERROR(F30*H30*K30,)</f>
        <v>24</v>
      </c>
      <c r="M30" s="4" t="s">
        <v>773</v>
      </c>
      <c r="N30" s="2"/>
      <c r="O30" s="2"/>
      <c r="P30" s="2"/>
      <c r="Q30" s="2"/>
      <c r="R30" s="49"/>
    </row>
    <row r="31" spans="1:19" ht="72.5" outlineLevel="1" x14ac:dyDescent="0.35">
      <c r="A31" s="14"/>
      <c r="B31" s="53" t="s">
        <v>720</v>
      </c>
      <c r="C31" s="22" t="s">
        <v>661</v>
      </c>
      <c r="D31" s="45" t="s">
        <v>772</v>
      </c>
      <c r="E31" s="45" t="s">
        <v>771</v>
      </c>
      <c r="F31" s="3">
        <v>2</v>
      </c>
      <c r="G31" s="45" t="s">
        <v>770</v>
      </c>
      <c r="H31" s="3">
        <v>1</v>
      </c>
      <c r="I31" s="41" t="s">
        <v>765</v>
      </c>
      <c r="J31" s="41"/>
      <c r="K31" s="4">
        <v>5</v>
      </c>
      <c r="L31" s="49">
        <f t="shared" si="7"/>
        <v>10</v>
      </c>
      <c r="M31" s="4" t="s">
        <v>764</v>
      </c>
      <c r="N31" s="2"/>
      <c r="O31" s="2"/>
      <c r="P31" s="2"/>
      <c r="Q31" s="2"/>
      <c r="R31" s="49"/>
      <c r="S31" t="s">
        <v>769</v>
      </c>
    </row>
    <row r="32" spans="1:19" ht="59" outlineLevel="1" x14ac:dyDescent="0.35">
      <c r="A32" s="14"/>
      <c r="B32" s="53" t="s">
        <v>720</v>
      </c>
      <c r="C32" s="22" t="s">
        <v>661</v>
      </c>
      <c r="D32" s="45" t="s">
        <v>768</v>
      </c>
      <c r="E32" s="45" t="s">
        <v>767</v>
      </c>
      <c r="F32" s="3">
        <v>5</v>
      </c>
      <c r="G32" s="45" t="s">
        <v>766</v>
      </c>
      <c r="H32" s="3">
        <v>2</v>
      </c>
      <c r="I32" s="41" t="s">
        <v>833</v>
      </c>
      <c r="J32" s="41" t="s">
        <v>2</v>
      </c>
      <c r="K32" s="4">
        <v>5</v>
      </c>
      <c r="L32" s="49">
        <f t="shared" si="7"/>
        <v>50</v>
      </c>
      <c r="M32" s="4" t="s">
        <v>832</v>
      </c>
      <c r="N32" s="2"/>
      <c r="O32" s="2"/>
      <c r="P32" s="2"/>
      <c r="Q32" s="2"/>
      <c r="R32" s="49"/>
    </row>
    <row r="33" spans="1:19" ht="44.5" outlineLevel="1" x14ac:dyDescent="0.35">
      <c r="B33" s="53" t="s">
        <v>720</v>
      </c>
      <c r="C33" s="22" t="s">
        <v>761</v>
      </c>
      <c r="D33" s="45" t="s">
        <v>760</v>
      </c>
      <c r="E33" s="45" t="s">
        <v>759</v>
      </c>
      <c r="F33" s="2">
        <v>4</v>
      </c>
      <c r="G33" s="45" t="s">
        <v>763</v>
      </c>
      <c r="H33" s="2">
        <v>2</v>
      </c>
      <c r="I33" s="41" t="s">
        <v>762</v>
      </c>
      <c r="J33" s="41" t="s">
        <v>662</v>
      </c>
      <c r="K33" s="2">
        <v>2</v>
      </c>
      <c r="L33" s="49">
        <f t="shared" si="7"/>
        <v>16</v>
      </c>
      <c r="M33" s="4"/>
      <c r="N33" s="2"/>
      <c r="O33" s="2"/>
      <c r="P33" s="2"/>
      <c r="Q33" s="2"/>
      <c r="R33" s="49"/>
    </row>
    <row r="34" spans="1:19" ht="44.5" outlineLevel="1" x14ac:dyDescent="0.35">
      <c r="B34" s="53" t="s">
        <v>720</v>
      </c>
      <c r="C34" s="22" t="s">
        <v>761</v>
      </c>
      <c r="D34" s="45" t="s">
        <v>760</v>
      </c>
      <c r="E34" s="45" t="s">
        <v>759</v>
      </c>
      <c r="F34" s="2">
        <v>4</v>
      </c>
      <c r="G34" s="45" t="s">
        <v>758</v>
      </c>
      <c r="H34" s="2">
        <v>3</v>
      </c>
      <c r="I34" s="41" t="s">
        <v>2</v>
      </c>
      <c r="J34" s="41" t="s">
        <v>2</v>
      </c>
      <c r="K34" s="2">
        <v>3</v>
      </c>
      <c r="L34" s="49">
        <f t="shared" si="7"/>
        <v>36</v>
      </c>
      <c r="M34" s="4"/>
      <c r="N34" s="2"/>
      <c r="O34" s="2"/>
      <c r="P34" s="2"/>
      <c r="Q34" s="2"/>
      <c r="R34" s="49"/>
    </row>
    <row r="35" spans="1:19" ht="44.5" outlineLevel="1" x14ac:dyDescent="0.35">
      <c r="A35" s="14"/>
      <c r="B35" s="53" t="s">
        <v>720</v>
      </c>
      <c r="C35" s="22" t="s">
        <v>741</v>
      </c>
      <c r="D35" s="45" t="s">
        <v>674</v>
      </c>
      <c r="E35" s="45" t="s">
        <v>755</v>
      </c>
      <c r="F35" s="3">
        <v>5</v>
      </c>
      <c r="G35" s="45" t="s">
        <v>757</v>
      </c>
      <c r="H35" s="3">
        <v>2</v>
      </c>
      <c r="I35" s="41" t="s">
        <v>816</v>
      </c>
      <c r="J35" s="41"/>
      <c r="K35" s="4">
        <v>3</v>
      </c>
      <c r="L35" s="49">
        <f t="shared" si="7"/>
        <v>30</v>
      </c>
      <c r="M35" s="4"/>
      <c r="N35" s="2"/>
      <c r="O35" s="2"/>
      <c r="P35" s="2"/>
      <c r="Q35" s="2"/>
      <c r="R35" s="49"/>
    </row>
    <row r="36" spans="1:19" ht="44.5" outlineLevel="1" x14ac:dyDescent="0.35">
      <c r="A36" s="14"/>
      <c r="B36" s="53" t="s">
        <v>720</v>
      </c>
      <c r="C36" s="22" t="s">
        <v>741</v>
      </c>
      <c r="D36" s="45" t="s">
        <v>756</v>
      </c>
      <c r="E36" s="45" t="s">
        <v>755</v>
      </c>
      <c r="F36" s="2">
        <v>5</v>
      </c>
      <c r="G36" s="45" t="s">
        <v>666</v>
      </c>
      <c r="H36" s="2">
        <v>1</v>
      </c>
      <c r="I36" s="41" t="s">
        <v>665</v>
      </c>
      <c r="J36" s="41" t="s">
        <v>2</v>
      </c>
      <c r="K36" s="2">
        <v>4</v>
      </c>
      <c r="L36" s="49">
        <f t="shared" si="7"/>
        <v>20</v>
      </c>
      <c r="M36" s="2"/>
      <c r="N36" s="2"/>
      <c r="O36" s="2"/>
      <c r="P36" s="2"/>
      <c r="Q36" s="2"/>
      <c r="R36" s="49"/>
    </row>
    <row r="37" spans="1:19" ht="44.5" outlineLevel="1" x14ac:dyDescent="0.35">
      <c r="A37" s="14"/>
      <c r="B37" s="53" t="s">
        <v>720</v>
      </c>
      <c r="C37" s="22" t="s">
        <v>741</v>
      </c>
      <c r="D37" s="45" t="s">
        <v>754</v>
      </c>
      <c r="E37" s="45" t="s">
        <v>753</v>
      </c>
      <c r="F37" s="2">
        <v>1</v>
      </c>
      <c r="G37" s="45" t="s">
        <v>682</v>
      </c>
      <c r="H37" s="2">
        <v>1</v>
      </c>
      <c r="I37" s="41" t="s">
        <v>2</v>
      </c>
      <c r="J37" s="41"/>
      <c r="K37" s="4">
        <v>3</v>
      </c>
      <c r="L37" s="49">
        <f t="shared" si="7"/>
        <v>3</v>
      </c>
      <c r="M37" s="4"/>
      <c r="N37" s="2"/>
      <c r="O37" s="2"/>
      <c r="P37" s="2"/>
      <c r="Q37" s="2"/>
      <c r="R37" s="49"/>
    </row>
    <row r="38" spans="1:19" ht="58" outlineLevel="1" x14ac:dyDescent="0.35">
      <c r="A38" s="14"/>
      <c r="B38" s="53" t="s">
        <v>720</v>
      </c>
      <c r="C38" s="22" t="s">
        <v>741</v>
      </c>
      <c r="D38" s="45" t="s">
        <v>752</v>
      </c>
      <c r="E38" s="45" t="s">
        <v>751</v>
      </c>
      <c r="F38" s="3">
        <v>3</v>
      </c>
      <c r="G38" s="45" t="s">
        <v>817</v>
      </c>
      <c r="H38" s="3">
        <v>1</v>
      </c>
      <c r="I38" s="41" t="s">
        <v>681</v>
      </c>
      <c r="J38" s="41"/>
      <c r="K38" s="4">
        <v>1</v>
      </c>
      <c r="L38" s="49">
        <f t="shared" si="7"/>
        <v>3</v>
      </c>
      <c r="M38" s="4" t="s">
        <v>680</v>
      </c>
      <c r="N38" s="2"/>
      <c r="O38" s="2"/>
      <c r="P38" s="2"/>
      <c r="Q38" s="2"/>
      <c r="R38" s="49"/>
    </row>
    <row r="39" spans="1:19" ht="44.5" outlineLevel="1" x14ac:dyDescent="0.35">
      <c r="A39" s="14"/>
      <c r="B39" s="53" t="s">
        <v>720</v>
      </c>
      <c r="C39" s="22" t="s">
        <v>741</v>
      </c>
      <c r="D39" s="45" t="s">
        <v>678</v>
      </c>
      <c r="E39" s="45" t="s">
        <v>677</v>
      </c>
      <c r="F39" s="2">
        <v>1</v>
      </c>
      <c r="G39" s="45" t="s">
        <v>676</v>
      </c>
      <c r="H39" s="3">
        <v>2</v>
      </c>
      <c r="I39" s="41" t="s">
        <v>750</v>
      </c>
      <c r="J39" s="41" t="s">
        <v>2</v>
      </c>
      <c r="K39" s="4">
        <v>1</v>
      </c>
      <c r="L39" s="49">
        <f t="shared" si="7"/>
        <v>2</v>
      </c>
      <c r="M39" s="4"/>
      <c r="N39" s="2"/>
      <c r="O39" s="2"/>
      <c r="P39" s="2"/>
      <c r="Q39" s="2"/>
      <c r="R39" s="49"/>
    </row>
    <row r="40" spans="1:19" ht="72.5" outlineLevel="1" x14ac:dyDescent="0.35">
      <c r="A40" s="14"/>
      <c r="B40" s="53" t="s">
        <v>720</v>
      </c>
      <c r="C40" s="22" t="s">
        <v>741</v>
      </c>
      <c r="D40" s="45" t="s">
        <v>749</v>
      </c>
      <c r="E40" s="45" t="s">
        <v>748</v>
      </c>
      <c r="F40" s="2">
        <v>4</v>
      </c>
      <c r="G40" s="45" t="s">
        <v>747</v>
      </c>
      <c r="H40" s="2">
        <v>1</v>
      </c>
      <c r="I40" s="41" t="s">
        <v>746</v>
      </c>
      <c r="J40" s="41" t="s">
        <v>745</v>
      </c>
      <c r="K40" s="4">
        <v>4</v>
      </c>
      <c r="L40" s="49">
        <f t="shared" si="7"/>
        <v>16</v>
      </c>
      <c r="M40" s="4"/>
      <c r="N40" s="2"/>
      <c r="O40" s="2"/>
      <c r="P40" s="2"/>
      <c r="Q40" s="2"/>
      <c r="R40" s="49"/>
    </row>
    <row r="41" spans="1:19" ht="44.5" outlineLevel="1" x14ac:dyDescent="0.35">
      <c r="A41" s="14"/>
      <c r="B41" s="53" t="s">
        <v>720</v>
      </c>
      <c r="C41" s="22" t="s">
        <v>741</v>
      </c>
      <c r="D41" s="45" t="s">
        <v>744</v>
      </c>
      <c r="E41" s="45" t="s">
        <v>743</v>
      </c>
      <c r="F41" s="2">
        <v>2</v>
      </c>
      <c r="G41" s="45" t="s">
        <v>742</v>
      </c>
      <c r="H41" s="2">
        <v>2</v>
      </c>
      <c r="I41" s="41"/>
      <c r="J41" s="41" t="s">
        <v>662</v>
      </c>
      <c r="K41" s="4">
        <v>3</v>
      </c>
      <c r="L41" s="49">
        <f t="shared" si="7"/>
        <v>12</v>
      </c>
      <c r="M41" s="4"/>
      <c r="N41" s="2"/>
      <c r="O41" s="2"/>
      <c r="P41" s="2"/>
      <c r="Q41" s="2"/>
      <c r="R41" s="49"/>
    </row>
    <row r="42" spans="1:19" ht="72.5" outlineLevel="1" x14ac:dyDescent="0.35">
      <c r="B42" s="53" t="s">
        <v>720</v>
      </c>
      <c r="C42" s="22" t="s">
        <v>741</v>
      </c>
      <c r="D42" s="3" t="s">
        <v>740</v>
      </c>
      <c r="E42" s="45" t="s">
        <v>739</v>
      </c>
      <c r="F42" s="2">
        <v>5</v>
      </c>
      <c r="G42" s="45" t="s">
        <v>738</v>
      </c>
      <c r="H42" s="2">
        <v>1</v>
      </c>
      <c r="I42" s="45" t="s">
        <v>737</v>
      </c>
      <c r="J42" s="41"/>
      <c r="K42" s="4">
        <v>3</v>
      </c>
      <c r="L42" s="49">
        <f t="shared" si="7"/>
        <v>15</v>
      </c>
      <c r="M42" s="4"/>
      <c r="N42" s="2"/>
      <c r="O42" s="2"/>
      <c r="P42" s="2"/>
      <c r="Q42" s="2"/>
      <c r="R42" s="49"/>
      <c r="S42" t="s">
        <v>736</v>
      </c>
    </row>
    <row r="43" spans="1:19" ht="44.5" outlineLevel="1" x14ac:dyDescent="0.35">
      <c r="B43" s="53" t="s">
        <v>720</v>
      </c>
      <c r="C43" s="22" t="s">
        <v>818</v>
      </c>
      <c r="D43" s="45" t="s">
        <v>674</v>
      </c>
      <c r="E43" s="45" t="s">
        <v>819</v>
      </c>
      <c r="F43" s="3">
        <v>5</v>
      </c>
      <c r="G43" s="45" t="s">
        <v>735</v>
      </c>
      <c r="H43" s="3">
        <v>1</v>
      </c>
      <c r="I43" s="41" t="s">
        <v>734</v>
      </c>
      <c r="J43" s="41"/>
      <c r="K43" s="4">
        <v>1</v>
      </c>
      <c r="L43" s="49">
        <f t="shared" si="7"/>
        <v>5</v>
      </c>
      <c r="M43" s="4" t="s">
        <v>710</v>
      </c>
      <c r="N43" s="2"/>
      <c r="O43" s="2"/>
      <c r="P43" s="2"/>
      <c r="Q43" s="2"/>
      <c r="R43" s="49"/>
    </row>
    <row r="44" spans="1:19" ht="44.5" outlineLevel="1" x14ac:dyDescent="0.35">
      <c r="B44" s="53" t="s">
        <v>720</v>
      </c>
      <c r="C44" s="22" t="s">
        <v>818</v>
      </c>
      <c r="D44" s="45" t="s">
        <v>668</v>
      </c>
      <c r="E44" s="45" t="s">
        <v>819</v>
      </c>
      <c r="F44" s="2">
        <v>5</v>
      </c>
      <c r="G44" s="45" t="s">
        <v>666</v>
      </c>
      <c r="H44" s="2">
        <v>1</v>
      </c>
      <c r="I44" s="41" t="s">
        <v>665</v>
      </c>
      <c r="J44" s="41" t="s">
        <v>2</v>
      </c>
      <c r="K44" s="2">
        <v>4</v>
      </c>
      <c r="L44" s="49">
        <f t="shared" si="7"/>
        <v>20</v>
      </c>
      <c r="M44" s="2"/>
      <c r="N44" s="2"/>
      <c r="O44" s="2"/>
      <c r="P44" s="2"/>
      <c r="Q44" s="2"/>
      <c r="R44" s="49"/>
      <c r="S44" t="s">
        <v>664</v>
      </c>
    </row>
    <row r="45" spans="1:19" ht="58" outlineLevel="1" x14ac:dyDescent="0.35">
      <c r="B45" s="53" t="s">
        <v>720</v>
      </c>
      <c r="C45" s="22" t="s">
        <v>818</v>
      </c>
      <c r="D45" s="45" t="s">
        <v>723</v>
      </c>
      <c r="E45" s="45" t="s">
        <v>819</v>
      </c>
      <c r="F45" s="3">
        <v>3</v>
      </c>
      <c r="G45" s="45" t="s">
        <v>733</v>
      </c>
      <c r="H45" s="3">
        <v>1</v>
      </c>
      <c r="I45" s="41" t="s">
        <v>681</v>
      </c>
      <c r="J45" s="41"/>
      <c r="K45" s="2">
        <v>1</v>
      </c>
      <c r="L45" s="49">
        <f t="shared" si="7"/>
        <v>3</v>
      </c>
      <c r="M45" s="2"/>
      <c r="N45" s="2"/>
      <c r="O45" s="2"/>
      <c r="P45" s="2"/>
      <c r="Q45" s="2"/>
      <c r="R45" s="49"/>
    </row>
    <row r="46" spans="1:19" ht="44.5" outlineLevel="1" x14ac:dyDescent="0.35">
      <c r="B46" s="53" t="s">
        <v>720</v>
      </c>
      <c r="C46" s="22" t="s">
        <v>6</v>
      </c>
      <c r="D46" s="45" t="s">
        <v>820</v>
      </c>
      <c r="E46" s="3" t="s">
        <v>732</v>
      </c>
      <c r="F46" s="2">
        <v>5</v>
      </c>
      <c r="G46" s="45" t="s">
        <v>731</v>
      </c>
      <c r="H46" s="2">
        <v>1</v>
      </c>
      <c r="I46" s="41"/>
      <c r="J46" s="41" t="s">
        <v>730</v>
      </c>
      <c r="K46" s="2">
        <v>3</v>
      </c>
      <c r="L46" s="49">
        <f t="shared" si="7"/>
        <v>15</v>
      </c>
      <c r="M46" s="2"/>
      <c r="N46" s="2"/>
      <c r="O46" s="2"/>
      <c r="P46" s="2"/>
      <c r="Q46" s="2"/>
      <c r="R46" s="49"/>
    </row>
    <row r="47" spans="1:19" ht="44.5" outlineLevel="1" x14ac:dyDescent="0.35">
      <c r="B47" s="53" t="s">
        <v>720</v>
      </c>
      <c r="C47" s="22" t="s">
        <v>6</v>
      </c>
      <c r="D47" s="45" t="s">
        <v>729</v>
      </c>
      <c r="E47" s="45" t="s">
        <v>728</v>
      </c>
      <c r="F47" s="2">
        <v>3</v>
      </c>
      <c r="G47" s="45" t="s">
        <v>727</v>
      </c>
      <c r="H47" s="2">
        <v>1</v>
      </c>
      <c r="I47" s="41" t="s">
        <v>821</v>
      </c>
      <c r="J47" s="41" t="s">
        <v>2</v>
      </c>
      <c r="K47" s="4">
        <v>2</v>
      </c>
      <c r="L47" s="49">
        <f t="shared" si="7"/>
        <v>6</v>
      </c>
      <c r="M47" s="4"/>
      <c r="N47" s="2"/>
      <c r="O47" s="2"/>
      <c r="P47" s="2"/>
      <c r="Q47" s="2"/>
      <c r="R47" s="49"/>
    </row>
    <row r="48" spans="1:19" ht="44.5" outlineLevel="1" x14ac:dyDescent="0.35">
      <c r="B48" s="53" t="s">
        <v>720</v>
      </c>
      <c r="C48" s="22" t="s">
        <v>4</v>
      </c>
      <c r="D48" s="45" t="s">
        <v>674</v>
      </c>
      <c r="E48" s="45" t="s">
        <v>726</v>
      </c>
      <c r="F48" s="3">
        <v>5</v>
      </c>
      <c r="G48" s="45" t="s">
        <v>725</v>
      </c>
      <c r="H48" s="3">
        <v>2</v>
      </c>
      <c r="I48" s="3"/>
      <c r="J48" s="41"/>
      <c r="K48" s="4">
        <v>1</v>
      </c>
      <c r="L48" s="49">
        <f t="shared" si="7"/>
        <v>10</v>
      </c>
      <c r="M48" s="2"/>
      <c r="N48" s="2"/>
      <c r="O48" s="2"/>
      <c r="P48" s="2"/>
      <c r="Q48" s="2"/>
      <c r="R48" s="49"/>
    </row>
    <row r="49" spans="1:19" ht="44.5" outlineLevel="1" x14ac:dyDescent="0.35">
      <c r="B49" s="53" t="s">
        <v>720</v>
      </c>
      <c r="C49" s="22" t="s">
        <v>4</v>
      </c>
      <c r="D49" s="45" t="s">
        <v>668</v>
      </c>
      <c r="E49" s="45" t="s">
        <v>724</v>
      </c>
      <c r="F49" s="2">
        <v>5</v>
      </c>
      <c r="G49" s="45" t="s">
        <v>666</v>
      </c>
      <c r="H49" s="2">
        <v>1</v>
      </c>
      <c r="I49" s="41" t="s">
        <v>665</v>
      </c>
      <c r="J49" s="41" t="s">
        <v>2</v>
      </c>
      <c r="K49" s="2">
        <v>4</v>
      </c>
      <c r="L49" s="49">
        <f t="shared" si="7"/>
        <v>20</v>
      </c>
      <c r="M49" s="2"/>
      <c r="N49" s="2"/>
      <c r="O49" s="2"/>
      <c r="P49" s="2"/>
      <c r="Q49" s="2"/>
      <c r="R49" s="49"/>
      <c r="S49" t="s">
        <v>664</v>
      </c>
    </row>
    <row r="50" spans="1:19" ht="58" outlineLevel="1" x14ac:dyDescent="0.35">
      <c r="B50" s="53" t="s">
        <v>720</v>
      </c>
      <c r="C50" s="22" t="s">
        <v>4</v>
      </c>
      <c r="D50" s="45" t="s">
        <v>723</v>
      </c>
      <c r="E50" s="45" t="s">
        <v>722</v>
      </c>
      <c r="F50" s="3">
        <v>5</v>
      </c>
      <c r="G50" s="45" t="s">
        <v>721</v>
      </c>
      <c r="H50" s="3">
        <v>1</v>
      </c>
      <c r="I50" s="41" t="s">
        <v>681</v>
      </c>
      <c r="J50" s="41" t="s">
        <v>835</v>
      </c>
      <c r="K50" s="4">
        <v>1</v>
      </c>
      <c r="L50" s="49">
        <f t="shared" si="7"/>
        <v>5</v>
      </c>
      <c r="M50" s="4" t="s">
        <v>680</v>
      </c>
      <c r="N50" s="2"/>
      <c r="O50" s="2"/>
      <c r="P50" s="2"/>
      <c r="Q50" s="2"/>
      <c r="R50" s="49"/>
    </row>
    <row r="51" spans="1:19" ht="44.5" outlineLevel="1" x14ac:dyDescent="0.35">
      <c r="B51" s="53" t="s">
        <v>720</v>
      </c>
      <c r="C51" s="22" t="s">
        <v>4</v>
      </c>
      <c r="D51" s="45" t="s">
        <v>719</v>
      </c>
      <c r="E51" s="45" t="s">
        <v>718</v>
      </c>
      <c r="F51" s="3">
        <v>4</v>
      </c>
      <c r="G51" s="45" t="s">
        <v>679</v>
      </c>
      <c r="H51" s="3">
        <v>1</v>
      </c>
      <c r="I51" s="41" t="s">
        <v>717</v>
      </c>
      <c r="J51" s="41" t="s">
        <v>836</v>
      </c>
      <c r="K51" s="4">
        <v>2</v>
      </c>
      <c r="L51" s="49">
        <f t="shared" si="7"/>
        <v>8</v>
      </c>
      <c r="M51" s="4"/>
      <c r="N51" s="2"/>
      <c r="O51" s="2"/>
      <c r="P51" s="2"/>
      <c r="Q51" s="2"/>
      <c r="R51" s="49"/>
    </row>
    <row r="52" spans="1:19" ht="14.5" customHeight="1" x14ac:dyDescent="0.35">
      <c r="B52" s="22" t="s">
        <v>711</v>
      </c>
      <c r="C52" s="22"/>
      <c r="D52" s="45"/>
      <c r="E52" s="45"/>
      <c r="F52" s="2"/>
      <c r="G52" s="45"/>
      <c r="H52" s="2"/>
      <c r="I52" s="41"/>
      <c r="J52" s="41"/>
      <c r="K52" s="4"/>
      <c r="L52" s="49">
        <f>MAX(L53:L55)</f>
        <v>30</v>
      </c>
      <c r="M52" s="4"/>
      <c r="N52" s="2"/>
      <c r="O52" s="2"/>
      <c r="P52" s="2"/>
      <c r="Q52" s="2"/>
      <c r="R52" s="49"/>
    </row>
    <row r="53" spans="1:19" ht="43.5" outlineLevel="1" x14ac:dyDescent="0.35">
      <c r="B53" s="22" t="s">
        <v>711</v>
      </c>
      <c r="C53" s="22"/>
      <c r="D53" s="45" t="s">
        <v>673</v>
      </c>
      <c r="E53" s="45" t="s">
        <v>713</v>
      </c>
      <c r="F53" s="3">
        <v>5</v>
      </c>
      <c r="G53" s="45" t="s">
        <v>716</v>
      </c>
      <c r="H53" s="3">
        <v>3</v>
      </c>
      <c r="I53" s="41"/>
      <c r="J53" s="41"/>
      <c r="K53" s="2">
        <v>2</v>
      </c>
      <c r="L53" s="49">
        <f t="shared" ref="L53:L55" si="8">IFERROR(F53*H53*K53,)</f>
        <v>30</v>
      </c>
      <c r="M53" s="2"/>
      <c r="N53" s="2"/>
      <c r="O53" s="2"/>
      <c r="P53" s="2"/>
      <c r="Q53" s="2"/>
      <c r="R53" s="49"/>
      <c r="S53" s="23" t="s">
        <v>715</v>
      </c>
    </row>
    <row r="54" spans="1:19" ht="43.5" outlineLevel="1" x14ac:dyDescent="0.35">
      <c r="B54" s="22" t="s">
        <v>711</v>
      </c>
      <c r="C54" s="22"/>
      <c r="D54" s="45" t="s">
        <v>671</v>
      </c>
      <c r="E54" s="45" t="s">
        <v>713</v>
      </c>
      <c r="F54" s="3">
        <v>3</v>
      </c>
      <c r="G54" s="45" t="s">
        <v>813</v>
      </c>
      <c r="H54" s="3">
        <v>1</v>
      </c>
      <c r="I54" s="41" t="s">
        <v>837</v>
      </c>
      <c r="J54" s="41"/>
      <c r="K54" s="4">
        <v>2</v>
      </c>
      <c r="L54" s="49">
        <f t="shared" si="8"/>
        <v>6</v>
      </c>
      <c r="M54" s="4"/>
      <c r="N54" s="2"/>
      <c r="O54" s="2"/>
      <c r="P54" s="2"/>
      <c r="Q54" s="2"/>
      <c r="R54" s="49"/>
      <c r="S54" s="23" t="s">
        <v>838</v>
      </c>
    </row>
    <row r="55" spans="1:19" ht="43.5" outlineLevel="1" x14ac:dyDescent="0.35">
      <c r="B55" s="22" t="s">
        <v>711</v>
      </c>
      <c r="C55" s="22"/>
      <c r="D55" s="45"/>
      <c r="E55" s="45" t="s">
        <v>713</v>
      </c>
      <c r="F55" s="3">
        <v>3</v>
      </c>
      <c r="G55" s="45" t="s">
        <v>670</v>
      </c>
      <c r="H55" s="3">
        <v>3</v>
      </c>
      <c r="I55" s="41"/>
      <c r="J55" s="41"/>
      <c r="K55" s="4">
        <v>2</v>
      </c>
      <c r="L55" s="49">
        <f t="shared" si="8"/>
        <v>18</v>
      </c>
      <c r="M55" s="4"/>
      <c r="N55" s="2"/>
      <c r="O55" s="2"/>
      <c r="P55" s="2"/>
      <c r="Q55" s="2"/>
      <c r="R55" s="49"/>
      <c r="S55" s="23" t="s">
        <v>712</v>
      </c>
    </row>
    <row r="56" spans="1:19" ht="14.5" customHeight="1" x14ac:dyDescent="0.35">
      <c r="B56" s="22" t="s">
        <v>706</v>
      </c>
      <c r="C56" s="22"/>
      <c r="D56" s="45"/>
      <c r="E56" s="45"/>
      <c r="F56" s="3"/>
      <c r="G56" s="45"/>
      <c r="H56" s="3"/>
      <c r="I56" s="41"/>
      <c r="J56" s="41"/>
      <c r="K56" s="4"/>
      <c r="L56" s="49">
        <f>MAX(L57:L60)</f>
        <v>24</v>
      </c>
      <c r="M56" s="4"/>
      <c r="N56" s="2"/>
      <c r="O56" s="2"/>
      <c r="P56" s="2"/>
      <c r="Q56" s="2"/>
      <c r="R56" s="49"/>
    </row>
    <row r="57" spans="1:19" ht="29" outlineLevel="1" x14ac:dyDescent="0.35">
      <c r="A57" s="14"/>
      <c r="B57" s="22" t="s">
        <v>706</v>
      </c>
      <c r="C57" s="22"/>
      <c r="D57" s="45" t="s">
        <v>673</v>
      </c>
      <c r="E57" s="45" t="s">
        <v>705</v>
      </c>
      <c r="F57" s="3">
        <v>3</v>
      </c>
      <c r="G57" s="45" t="s">
        <v>672</v>
      </c>
      <c r="H57" s="3">
        <v>1</v>
      </c>
      <c r="I57" s="41" t="s">
        <v>704</v>
      </c>
      <c r="J57" s="41" t="s">
        <v>662</v>
      </c>
      <c r="K57" s="4">
        <v>1</v>
      </c>
      <c r="L57" s="49">
        <f t="shared" ref="L57:L60" si="9">IFERROR(F57*H57*K57,)</f>
        <v>3</v>
      </c>
      <c r="M57" s="4"/>
      <c r="N57" s="2"/>
      <c r="O57" s="2"/>
      <c r="P57" s="2"/>
      <c r="Q57" s="2"/>
      <c r="R57" s="49"/>
    </row>
    <row r="58" spans="1:19" ht="29" outlineLevel="1" x14ac:dyDescent="0.35">
      <c r="B58" s="22" t="s">
        <v>706</v>
      </c>
      <c r="C58" s="22"/>
      <c r="D58" s="45" t="s">
        <v>671</v>
      </c>
      <c r="E58" s="45" t="s">
        <v>687</v>
      </c>
      <c r="F58" s="3">
        <v>3</v>
      </c>
      <c r="G58" s="46" t="s">
        <v>813</v>
      </c>
      <c r="H58" s="3">
        <v>2</v>
      </c>
      <c r="I58" s="41" t="s">
        <v>709</v>
      </c>
      <c r="J58" s="41"/>
      <c r="K58" s="4">
        <v>4</v>
      </c>
      <c r="L58" s="49">
        <f t="shared" si="9"/>
        <v>24</v>
      </c>
      <c r="M58" s="4"/>
      <c r="N58" s="2"/>
      <c r="O58" s="2"/>
      <c r="P58" s="2"/>
      <c r="Q58" s="2"/>
      <c r="R58" s="49"/>
      <c r="S58" s="21" t="s">
        <v>708</v>
      </c>
    </row>
    <row r="59" spans="1:19" ht="29" outlineLevel="1" x14ac:dyDescent="0.35">
      <c r="B59" s="22" t="s">
        <v>706</v>
      </c>
      <c r="C59" s="22"/>
      <c r="D59" s="45" t="s">
        <v>671</v>
      </c>
      <c r="E59" s="45" t="s">
        <v>687</v>
      </c>
      <c r="F59" s="3">
        <v>2</v>
      </c>
      <c r="G59" s="46" t="s">
        <v>670</v>
      </c>
      <c r="H59" s="3">
        <v>3</v>
      </c>
      <c r="I59" s="3"/>
      <c r="J59" s="41"/>
      <c r="K59" s="4">
        <v>4</v>
      </c>
      <c r="L59" s="49">
        <f t="shared" si="9"/>
        <v>24</v>
      </c>
      <c r="M59" s="4"/>
      <c r="N59" s="2"/>
      <c r="O59" s="2"/>
      <c r="P59" s="2"/>
      <c r="Q59" s="2"/>
      <c r="R59" s="49"/>
      <c r="S59" s="21" t="s">
        <v>707</v>
      </c>
    </row>
    <row r="60" spans="1:19" ht="43.5" outlineLevel="1" x14ac:dyDescent="0.35">
      <c r="B60" s="22" t="s">
        <v>706</v>
      </c>
      <c r="C60" s="13"/>
      <c r="D60" s="45" t="s">
        <v>696</v>
      </c>
      <c r="E60" s="45" t="s">
        <v>703</v>
      </c>
      <c r="F60" s="2">
        <v>2</v>
      </c>
      <c r="G60" s="45" t="s">
        <v>694</v>
      </c>
      <c r="H60" s="2">
        <v>2</v>
      </c>
      <c r="I60" s="41" t="s">
        <v>693</v>
      </c>
      <c r="J60" s="41" t="s">
        <v>662</v>
      </c>
      <c r="K60" s="2">
        <v>5</v>
      </c>
      <c r="L60" s="49">
        <f t="shared" si="9"/>
        <v>20</v>
      </c>
      <c r="M60" s="4" t="s">
        <v>811</v>
      </c>
      <c r="N60" s="2" t="s">
        <v>826</v>
      </c>
      <c r="O60" s="2"/>
      <c r="P60" s="2"/>
      <c r="Q60" s="2"/>
      <c r="R60" s="49"/>
    </row>
    <row r="61" spans="1:19" ht="14.5" customHeight="1" x14ac:dyDescent="0.35">
      <c r="B61" s="22" t="s">
        <v>698</v>
      </c>
      <c r="C61" s="22"/>
      <c r="D61" s="45"/>
      <c r="E61" s="45"/>
      <c r="F61" s="2"/>
      <c r="G61" s="45"/>
      <c r="H61" s="2"/>
      <c r="I61" s="41"/>
      <c r="J61" s="41"/>
      <c r="K61" s="2"/>
      <c r="L61" s="49">
        <f>MAX(L62:L66)</f>
        <v>30</v>
      </c>
      <c r="M61" s="2"/>
      <c r="N61" s="2"/>
      <c r="O61" s="2"/>
      <c r="P61" s="2"/>
      <c r="Q61" s="2"/>
      <c r="R61" s="49"/>
    </row>
    <row r="62" spans="1:19" ht="43.5" outlineLevel="1" x14ac:dyDescent="0.35">
      <c r="B62" s="22" t="s">
        <v>698</v>
      </c>
      <c r="C62" s="22"/>
      <c r="D62" s="45" t="s">
        <v>673</v>
      </c>
      <c r="E62" s="45" t="s">
        <v>705</v>
      </c>
      <c r="F62" s="3">
        <v>2</v>
      </c>
      <c r="G62" s="45" t="s">
        <v>672</v>
      </c>
      <c r="H62" s="3">
        <v>2</v>
      </c>
      <c r="I62" s="41" t="s">
        <v>704</v>
      </c>
      <c r="J62" s="41"/>
      <c r="K62" s="4">
        <v>1</v>
      </c>
      <c r="L62" s="49">
        <f t="shared" ref="L62:L66" si="10">IFERROR(F62*H62*K62,)</f>
        <v>4</v>
      </c>
      <c r="M62" s="4"/>
      <c r="N62" s="2"/>
      <c r="O62" s="2"/>
      <c r="P62" s="2"/>
      <c r="Q62" s="2"/>
      <c r="R62" s="49"/>
      <c r="S62" t="s">
        <v>686</v>
      </c>
    </row>
    <row r="63" spans="1:19" ht="43.5" outlineLevel="1" x14ac:dyDescent="0.35">
      <c r="B63" s="22" t="s">
        <v>698</v>
      </c>
      <c r="C63" s="22"/>
      <c r="D63" s="45" t="s">
        <v>671</v>
      </c>
      <c r="E63" s="45"/>
      <c r="F63" s="3">
        <v>3</v>
      </c>
      <c r="G63" s="45" t="s">
        <v>813</v>
      </c>
      <c r="H63" s="3">
        <v>1</v>
      </c>
      <c r="I63" s="41"/>
      <c r="J63" s="41"/>
      <c r="K63" s="4">
        <v>5</v>
      </c>
      <c r="L63" s="49">
        <f t="shared" si="10"/>
        <v>15</v>
      </c>
      <c r="M63" s="4"/>
      <c r="N63" s="2"/>
      <c r="O63" s="2"/>
      <c r="P63" s="2"/>
      <c r="Q63" s="2"/>
      <c r="R63" s="49"/>
      <c r="S63" t="s">
        <v>840</v>
      </c>
    </row>
    <row r="64" spans="1:19" ht="58" outlineLevel="1" x14ac:dyDescent="0.35">
      <c r="B64" s="22" t="s">
        <v>698</v>
      </c>
      <c r="C64" s="22"/>
      <c r="D64" s="45" t="s">
        <v>839</v>
      </c>
      <c r="E64" s="45" t="s">
        <v>703</v>
      </c>
      <c r="F64" s="3">
        <v>3</v>
      </c>
      <c r="G64" s="45" t="s">
        <v>670</v>
      </c>
      <c r="H64" s="3">
        <v>2</v>
      </c>
      <c r="I64" s="41" t="s">
        <v>841</v>
      </c>
      <c r="J64" s="41"/>
      <c r="K64" s="4">
        <v>5</v>
      </c>
      <c r="L64" s="49">
        <f t="shared" si="10"/>
        <v>30</v>
      </c>
      <c r="M64" s="4" t="s">
        <v>842</v>
      </c>
      <c r="N64" s="2" t="s">
        <v>828</v>
      </c>
      <c r="O64" s="3" t="s">
        <v>843</v>
      </c>
      <c r="P64" s="2">
        <v>1</v>
      </c>
      <c r="Q64" s="2">
        <v>5</v>
      </c>
      <c r="R64" s="49">
        <f>F64*P64*Q64</f>
        <v>15</v>
      </c>
    </row>
    <row r="65" spans="2:19" ht="43.5" outlineLevel="1" x14ac:dyDescent="0.35">
      <c r="B65" s="22" t="s">
        <v>698</v>
      </c>
      <c r="C65" s="22"/>
      <c r="D65" s="45" t="s">
        <v>702</v>
      </c>
      <c r="E65" s="45" t="s">
        <v>701</v>
      </c>
      <c r="F65" s="2">
        <v>2</v>
      </c>
      <c r="G65" s="45" t="s">
        <v>700</v>
      </c>
      <c r="H65" s="2">
        <v>3</v>
      </c>
      <c r="I65" s="41" t="s">
        <v>2</v>
      </c>
      <c r="J65" s="41"/>
      <c r="K65" s="2">
        <v>5</v>
      </c>
      <c r="L65" s="49">
        <f t="shared" si="10"/>
        <v>30</v>
      </c>
      <c r="M65" s="4" t="s">
        <v>827</v>
      </c>
      <c r="N65" s="2"/>
      <c r="O65" s="2"/>
      <c r="P65" s="2"/>
      <c r="Q65" s="2"/>
      <c r="R65" s="49">
        <f t="shared" ref="R65:R83" si="11">F65*P65*Q65</f>
        <v>0</v>
      </c>
      <c r="S65" t="s">
        <v>699</v>
      </c>
    </row>
    <row r="66" spans="2:19" ht="43.5" outlineLevel="1" x14ac:dyDescent="0.35">
      <c r="B66" s="22" t="s">
        <v>698</v>
      </c>
      <c r="C66" s="13"/>
      <c r="D66" s="45" t="s">
        <v>696</v>
      </c>
      <c r="E66" s="45" t="s">
        <v>695</v>
      </c>
      <c r="F66" s="2">
        <v>2</v>
      </c>
      <c r="G66" s="45" t="s">
        <v>694</v>
      </c>
      <c r="H66" s="2">
        <v>2</v>
      </c>
      <c r="I66" s="41" t="s">
        <v>693</v>
      </c>
      <c r="J66" s="41" t="s">
        <v>662</v>
      </c>
      <c r="K66" s="2">
        <v>5</v>
      </c>
      <c r="L66" s="49">
        <f t="shared" si="10"/>
        <v>20</v>
      </c>
      <c r="M66" s="4" t="s">
        <v>811</v>
      </c>
      <c r="N66" s="2" t="s">
        <v>826</v>
      </c>
      <c r="O66" s="2"/>
      <c r="P66" s="2"/>
      <c r="Q66" s="2"/>
      <c r="R66" s="49">
        <f t="shared" si="11"/>
        <v>0</v>
      </c>
    </row>
    <row r="67" spans="2:19" x14ac:dyDescent="0.35">
      <c r="B67" s="22" t="s">
        <v>691</v>
      </c>
      <c r="C67" s="22"/>
      <c r="D67" s="45"/>
      <c r="E67" s="45"/>
      <c r="F67" s="2"/>
      <c r="G67" s="45"/>
      <c r="H67" s="2"/>
      <c r="I67" s="41"/>
      <c r="J67" s="41"/>
      <c r="K67" s="2"/>
      <c r="L67" s="49">
        <f>MAX(L68:L72)</f>
        <v>45</v>
      </c>
      <c r="M67" s="2"/>
      <c r="N67" s="2"/>
      <c r="O67" s="2"/>
      <c r="P67" s="2"/>
      <c r="Q67" s="2"/>
      <c r="R67" s="49">
        <f t="shared" si="11"/>
        <v>0</v>
      </c>
    </row>
    <row r="68" spans="2:19" ht="29" outlineLevel="1" x14ac:dyDescent="0.35">
      <c r="B68" s="22" t="s">
        <v>691</v>
      </c>
      <c r="C68" s="22"/>
      <c r="D68" s="45" t="s">
        <v>673</v>
      </c>
      <c r="E68" s="45"/>
      <c r="F68" s="3">
        <v>3</v>
      </c>
      <c r="G68" s="45" t="s">
        <v>672</v>
      </c>
      <c r="H68" s="3">
        <v>3</v>
      </c>
      <c r="I68" s="41"/>
      <c r="J68" s="41"/>
      <c r="K68" s="4">
        <v>5</v>
      </c>
      <c r="L68" s="49">
        <f t="shared" ref="L68:L73" si="12">IFERROR(F68*H68*K68,)</f>
        <v>45</v>
      </c>
      <c r="M68" s="4" t="s">
        <v>844</v>
      </c>
      <c r="N68" s="2" t="s">
        <v>846</v>
      </c>
      <c r="O68" s="2" t="s">
        <v>845</v>
      </c>
      <c r="P68" s="2">
        <v>1</v>
      </c>
      <c r="Q68" s="2">
        <v>5</v>
      </c>
      <c r="R68" s="49">
        <f t="shared" si="11"/>
        <v>15</v>
      </c>
    </row>
    <row r="69" spans="2:19" ht="29" outlineLevel="1" x14ac:dyDescent="0.35">
      <c r="B69" s="22" t="s">
        <v>691</v>
      </c>
      <c r="C69" s="22"/>
      <c r="D69" s="45" t="s">
        <v>671</v>
      </c>
      <c r="E69" s="45"/>
      <c r="F69" s="3">
        <v>4</v>
      </c>
      <c r="G69" s="45" t="s">
        <v>813</v>
      </c>
      <c r="H69" s="3">
        <v>2</v>
      </c>
      <c r="I69" s="41"/>
      <c r="J69" s="41"/>
      <c r="K69" s="4">
        <v>5</v>
      </c>
      <c r="L69" s="49">
        <f t="shared" si="12"/>
        <v>40</v>
      </c>
      <c r="M69" s="4" t="s">
        <v>827</v>
      </c>
      <c r="N69" s="2"/>
      <c r="O69" s="2"/>
      <c r="P69" s="2"/>
      <c r="Q69" s="2"/>
      <c r="R69" s="49">
        <f t="shared" si="11"/>
        <v>0</v>
      </c>
    </row>
    <row r="70" spans="2:19" ht="29" outlineLevel="1" x14ac:dyDescent="0.35">
      <c r="B70" s="22" t="s">
        <v>691</v>
      </c>
      <c r="C70" s="22"/>
      <c r="D70" s="45"/>
      <c r="E70" s="45"/>
      <c r="F70" s="3">
        <v>3</v>
      </c>
      <c r="G70" s="45" t="s">
        <v>670</v>
      </c>
      <c r="H70" s="3">
        <v>3</v>
      </c>
      <c r="I70" s="41"/>
      <c r="J70" s="41"/>
      <c r="K70" s="4">
        <v>5</v>
      </c>
      <c r="L70" s="49">
        <f t="shared" si="12"/>
        <v>45</v>
      </c>
      <c r="M70" s="4" t="s">
        <v>844</v>
      </c>
      <c r="N70" s="2" t="s">
        <v>846</v>
      </c>
      <c r="O70" s="2" t="s">
        <v>845</v>
      </c>
      <c r="P70" s="2">
        <v>1</v>
      </c>
      <c r="Q70" s="2">
        <v>5</v>
      </c>
      <c r="R70" s="49">
        <f t="shared" ref="R70" si="13">F70*P70*Q70</f>
        <v>15</v>
      </c>
    </row>
    <row r="71" spans="2:19" ht="29" outlineLevel="1" x14ac:dyDescent="0.35">
      <c r="B71" s="22" t="s">
        <v>691</v>
      </c>
      <c r="C71" s="22"/>
      <c r="D71" s="45" t="s">
        <v>668</v>
      </c>
      <c r="E71" s="45" t="s">
        <v>697</v>
      </c>
      <c r="F71" s="2">
        <v>3</v>
      </c>
      <c r="G71" s="45" t="s">
        <v>666</v>
      </c>
      <c r="H71" s="2">
        <v>1</v>
      </c>
      <c r="I71" s="41" t="s">
        <v>665</v>
      </c>
      <c r="J71" s="41" t="s">
        <v>2</v>
      </c>
      <c r="K71" s="2">
        <v>4</v>
      </c>
      <c r="L71" s="49">
        <f t="shared" si="12"/>
        <v>12</v>
      </c>
      <c r="M71" s="2"/>
      <c r="N71" s="2"/>
      <c r="O71" s="2"/>
      <c r="P71" s="2"/>
      <c r="Q71" s="2"/>
      <c r="R71" s="49">
        <f t="shared" si="11"/>
        <v>0</v>
      </c>
      <c r="S71" t="s">
        <v>664</v>
      </c>
    </row>
    <row r="72" spans="2:19" ht="43.5" outlineLevel="1" x14ac:dyDescent="0.35">
      <c r="B72" s="22" t="s">
        <v>691</v>
      </c>
      <c r="C72" s="13"/>
      <c r="D72" s="45" t="s">
        <v>696</v>
      </c>
      <c r="E72" s="45" t="s">
        <v>695</v>
      </c>
      <c r="F72" s="2">
        <v>3</v>
      </c>
      <c r="G72" s="45" t="s">
        <v>694</v>
      </c>
      <c r="H72" s="2">
        <v>3</v>
      </c>
      <c r="I72" s="41" t="s">
        <v>693</v>
      </c>
      <c r="J72" s="41" t="s">
        <v>662</v>
      </c>
      <c r="K72" s="2">
        <v>5</v>
      </c>
      <c r="L72" s="49">
        <f t="shared" si="12"/>
        <v>45</v>
      </c>
      <c r="M72" s="4" t="s">
        <v>811</v>
      </c>
      <c r="N72" s="2" t="s">
        <v>826</v>
      </c>
      <c r="O72" s="2"/>
      <c r="P72" s="2"/>
      <c r="Q72" s="2"/>
      <c r="R72" s="49">
        <f t="shared" si="11"/>
        <v>0</v>
      </c>
    </row>
    <row r="73" spans="2:19" ht="29" outlineLevel="1" x14ac:dyDescent="0.35">
      <c r="B73" s="22" t="s">
        <v>691</v>
      </c>
      <c r="C73" s="13" t="s">
        <v>690</v>
      </c>
      <c r="D73" s="45" t="s">
        <v>689</v>
      </c>
      <c r="E73" s="45" t="s">
        <v>688</v>
      </c>
      <c r="F73" s="3">
        <v>4</v>
      </c>
      <c r="G73" s="45" t="s">
        <v>813</v>
      </c>
      <c r="H73" s="3">
        <v>2</v>
      </c>
      <c r="I73" s="41"/>
      <c r="J73" s="41"/>
      <c r="K73" s="4">
        <v>5</v>
      </c>
      <c r="L73" s="49">
        <f t="shared" si="12"/>
        <v>40</v>
      </c>
      <c r="M73" s="4" t="s">
        <v>827</v>
      </c>
      <c r="N73" s="2"/>
      <c r="O73" s="2"/>
      <c r="P73" s="2"/>
      <c r="Q73" s="2"/>
      <c r="R73" s="49">
        <f t="shared" si="11"/>
        <v>0</v>
      </c>
      <c r="S73" t="s">
        <v>692</v>
      </c>
    </row>
    <row r="74" spans="2:19" ht="29" x14ac:dyDescent="0.35">
      <c r="B74" s="22" t="s">
        <v>675</v>
      </c>
      <c r="C74" s="22"/>
      <c r="D74" s="45"/>
      <c r="E74" s="45"/>
      <c r="F74" s="2"/>
      <c r="G74" s="45"/>
      <c r="H74" s="2"/>
      <c r="I74" s="41"/>
      <c r="J74" s="41"/>
      <c r="K74" s="2"/>
      <c r="L74" s="49">
        <f>MAX(L75:L78)</f>
        <v>20</v>
      </c>
      <c r="M74" s="2"/>
      <c r="N74" s="2"/>
      <c r="O74" s="2"/>
      <c r="P74" s="2"/>
      <c r="Q74" s="2"/>
      <c r="R74" s="49">
        <f t="shared" si="11"/>
        <v>0</v>
      </c>
    </row>
    <row r="75" spans="2:19" ht="29" outlineLevel="1" x14ac:dyDescent="0.35">
      <c r="B75" s="22" t="s">
        <v>675</v>
      </c>
      <c r="C75" s="22"/>
      <c r="D75" s="45" t="s">
        <v>673</v>
      </c>
      <c r="E75" s="45"/>
      <c r="F75" s="3">
        <v>2</v>
      </c>
      <c r="G75" s="45" t="s">
        <v>672</v>
      </c>
      <c r="H75" s="3">
        <v>3</v>
      </c>
      <c r="I75" s="41"/>
      <c r="J75" s="41"/>
      <c r="K75" s="4">
        <v>2</v>
      </c>
      <c r="L75" s="49">
        <f t="shared" ref="L75:L78" si="14">IFERROR(F75*H75*K75,)</f>
        <v>12</v>
      </c>
      <c r="M75" s="4"/>
      <c r="N75" s="2"/>
      <c r="O75" s="2"/>
      <c r="P75" s="2"/>
      <c r="Q75" s="2"/>
      <c r="R75" s="49">
        <f t="shared" si="11"/>
        <v>0</v>
      </c>
      <c r="S75" t="s">
        <v>686</v>
      </c>
    </row>
    <row r="76" spans="2:19" ht="29" outlineLevel="1" x14ac:dyDescent="0.35">
      <c r="B76" s="22" t="s">
        <v>675</v>
      </c>
      <c r="C76" s="22"/>
      <c r="D76" s="45" t="s">
        <v>671</v>
      </c>
      <c r="E76" s="45"/>
      <c r="F76" s="3">
        <v>2</v>
      </c>
      <c r="G76" s="45" t="s">
        <v>813</v>
      </c>
      <c r="H76" s="3">
        <v>2</v>
      </c>
      <c r="I76" s="41"/>
      <c r="J76" s="41"/>
      <c r="K76" s="4">
        <v>5</v>
      </c>
      <c r="L76" s="49">
        <f t="shared" si="14"/>
        <v>20</v>
      </c>
      <c r="M76" s="4"/>
      <c r="N76" s="2"/>
      <c r="O76" s="2"/>
      <c r="P76" s="2"/>
      <c r="Q76" s="2"/>
      <c r="R76" s="49">
        <f t="shared" si="11"/>
        <v>0</v>
      </c>
      <c r="S76" t="s">
        <v>685</v>
      </c>
    </row>
    <row r="77" spans="2:19" ht="29" outlineLevel="1" x14ac:dyDescent="0.35">
      <c r="B77" s="22" t="s">
        <v>675</v>
      </c>
      <c r="C77" s="22"/>
      <c r="D77" s="45"/>
      <c r="E77" s="45"/>
      <c r="F77" s="3">
        <v>1</v>
      </c>
      <c r="G77" s="45" t="s">
        <v>670</v>
      </c>
      <c r="H77" s="3">
        <v>3</v>
      </c>
      <c r="I77" s="41"/>
      <c r="J77" s="41"/>
      <c r="K77" s="4">
        <v>5</v>
      </c>
      <c r="L77" s="49">
        <f t="shared" si="14"/>
        <v>15</v>
      </c>
      <c r="M77" s="4"/>
      <c r="N77" s="2"/>
      <c r="O77" s="2"/>
      <c r="P77" s="2"/>
      <c r="Q77" s="2"/>
      <c r="R77" s="49">
        <f t="shared" si="11"/>
        <v>0</v>
      </c>
      <c r="S77" t="s">
        <v>684</v>
      </c>
    </row>
    <row r="78" spans="2:19" ht="29" outlineLevel="1" x14ac:dyDescent="0.35">
      <c r="B78" s="22" t="s">
        <v>675</v>
      </c>
      <c r="C78" s="22"/>
      <c r="D78" s="45" t="s">
        <v>668</v>
      </c>
      <c r="E78" s="45" t="s">
        <v>683</v>
      </c>
      <c r="F78" s="2">
        <v>2</v>
      </c>
      <c r="G78" s="45" t="s">
        <v>666</v>
      </c>
      <c r="H78" s="2">
        <v>1</v>
      </c>
      <c r="I78" s="41" t="s">
        <v>665</v>
      </c>
      <c r="J78" s="41" t="s">
        <v>2</v>
      </c>
      <c r="K78" s="2">
        <v>4</v>
      </c>
      <c r="L78" s="49">
        <f t="shared" si="14"/>
        <v>8</v>
      </c>
      <c r="M78" s="2"/>
      <c r="N78" s="2"/>
      <c r="O78" s="2"/>
      <c r="P78" s="2"/>
      <c r="Q78" s="2"/>
      <c r="R78" s="49">
        <f t="shared" si="11"/>
        <v>0</v>
      </c>
      <c r="S78" t="s">
        <v>664</v>
      </c>
    </row>
    <row r="79" spans="2:19" x14ac:dyDescent="0.35">
      <c r="B79" s="22" t="s">
        <v>662</v>
      </c>
      <c r="C79" s="22"/>
      <c r="D79" s="3"/>
      <c r="E79" s="45"/>
      <c r="F79" s="2"/>
      <c r="G79" s="45"/>
      <c r="H79" s="2"/>
      <c r="I79" s="41"/>
      <c r="J79" s="41"/>
      <c r="K79" s="2"/>
      <c r="L79" s="49">
        <f>MAX(L80:L83)</f>
        <v>40</v>
      </c>
      <c r="M79" s="2"/>
      <c r="N79" s="2"/>
      <c r="O79" s="2"/>
      <c r="P79" s="2"/>
      <c r="Q79" s="2"/>
      <c r="R79" s="49">
        <f t="shared" si="11"/>
        <v>0</v>
      </c>
    </row>
    <row r="80" spans="2:19" ht="43.5" outlineLevel="1" x14ac:dyDescent="0.35">
      <c r="B80" s="22" t="s">
        <v>662</v>
      </c>
      <c r="C80" s="22"/>
      <c r="D80" s="45" t="s">
        <v>673</v>
      </c>
      <c r="E80" s="45"/>
      <c r="F80" s="3">
        <v>4</v>
      </c>
      <c r="G80" s="45" t="s">
        <v>672</v>
      </c>
      <c r="H80" s="3">
        <v>2</v>
      </c>
      <c r="I80" s="41"/>
      <c r="J80" s="41"/>
      <c r="K80" s="4">
        <v>5</v>
      </c>
      <c r="L80" s="49">
        <f t="shared" ref="L80:L83" si="15">IFERROR(F80*H80*K80,)</f>
        <v>40</v>
      </c>
      <c r="M80" s="4" t="s">
        <v>847</v>
      </c>
      <c r="N80" s="2" t="s">
        <v>828</v>
      </c>
      <c r="O80" s="3" t="s">
        <v>848</v>
      </c>
      <c r="P80">
        <v>1</v>
      </c>
      <c r="Q80" s="2">
        <v>2</v>
      </c>
      <c r="R80" s="49">
        <f t="shared" si="11"/>
        <v>8</v>
      </c>
      <c r="S80" s="52"/>
    </row>
    <row r="81" spans="2:19" outlineLevel="1" x14ac:dyDescent="0.35">
      <c r="B81" s="22" t="s">
        <v>662</v>
      </c>
      <c r="C81" s="22"/>
      <c r="D81" s="45" t="s">
        <v>671</v>
      </c>
      <c r="E81" s="45"/>
      <c r="F81" s="3">
        <v>4</v>
      </c>
      <c r="G81" s="45" t="s">
        <v>813</v>
      </c>
      <c r="H81" s="3">
        <v>1</v>
      </c>
      <c r="I81" s="41"/>
      <c r="J81" s="41"/>
      <c r="K81" s="4">
        <v>2</v>
      </c>
      <c r="L81" s="49">
        <f t="shared" si="15"/>
        <v>8</v>
      </c>
      <c r="M81" s="4"/>
      <c r="N81" s="2"/>
      <c r="O81" s="2"/>
      <c r="P81" s="2"/>
      <c r="Q81" s="2"/>
      <c r="R81" s="49">
        <f t="shared" si="11"/>
        <v>0</v>
      </c>
      <c r="S81" s="21"/>
    </row>
    <row r="82" spans="2:19" outlineLevel="1" x14ac:dyDescent="0.35">
      <c r="B82" s="22" t="s">
        <v>662</v>
      </c>
      <c r="C82" s="22"/>
      <c r="D82" s="45"/>
      <c r="E82" s="45"/>
      <c r="F82" s="3">
        <v>4</v>
      </c>
      <c r="G82" s="45" t="s">
        <v>670</v>
      </c>
      <c r="H82" s="3">
        <v>1</v>
      </c>
      <c r="I82" s="41" t="s">
        <v>669</v>
      </c>
      <c r="J82" s="41"/>
      <c r="K82" s="4">
        <v>5</v>
      </c>
      <c r="L82" s="49">
        <f t="shared" si="15"/>
        <v>20</v>
      </c>
      <c r="M82" s="4"/>
      <c r="N82" s="2"/>
      <c r="O82" s="2"/>
      <c r="P82" s="2"/>
      <c r="Q82" s="2"/>
      <c r="R82" s="49">
        <f t="shared" si="11"/>
        <v>0</v>
      </c>
      <c r="S82" s="21"/>
    </row>
    <row r="83" spans="2:19" outlineLevel="1" x14ac:dyDescent="0.35">
      <c r="B83" s="22" t="s">
        <v>662</v>
      </c>
      <c r="C83" s="22"/>
      <c r="D83" s="45" t="s">
        <v>668</v>
      </c>
      <c r="E83" s="45" t="s">
        <v>667</v>
      </c>
      <c r="F83" s="2">
        <v>5</v>
      </c>
      <c r="G83" s="45" t="s">
        <v>666</v>
      </c>
      <c r="H83" s="2">
        <v>1</v>
      </c>
      <c r="I83" s="41" t="s">
        <v>665</v>
      </c>
      <c r="J83" s="41" t="s">
        <v>2</v>
      </c>
      <c r="K83" s="2">
        <v>4</v>
      </c>
      <c r="L83" s="49">
        <f t="shared" si="15"/>
        <v>20</v>
      </c>
      <c r="M83" s="2"/>
      <c r="N83" s="2"/>
      <c r="O83" s="2"/>
      <c r="P83" s="2"/>
      <c r="Q83" s="2"/>
      <c r="R83" s="49">
        <f t="shared" si="11"/>
        <v>0</v>
      </c>
      <c r="S83" t="s">
        <v>664</v>
      </c>
    </row>
    <row r="84" spans="2:19" x14ac:dyDescent="0.35">
      <c r="D84" s="47"/>
      <c r="E84" s="47"/>
      <c r="I84" s="43"/>
      <c r="J84" s="43"/>
    </row>
    <row r="85" spans="2:19" x14ac:dyDescent="0.35">
      <c r="D85" s="47"/>
      <c r="E85" s="47"/>
      <c r="I85" s="43"/>
      <c r="J85" s="43"/>
    </row>
    <row r="86" spans="2:19" x14ac:dyDescent="0.35">
      <c r="D86" s="47"/>
      <c r="E86" s="47"/>
      <c r="I86" s="43"/>
      <c r="J86" s="43"/>
    </row>
    <row r="87" spans="2:19" x14ac:dyDescent="0.35">
      <c r="D87" s="47"/>
      <c r="E87" s="47"/>
      <c r="I87" s="43"/>
      <c r="J87" s="43"/>
    </row>
    <row r="88" spans="2:19" x14ac:dyDescent="0.35">
      <c r="D88" s="47"/>
      <c r="E88" s="47"/>
      <c r="J88" s="43"/>
    </row>
    <row r="89" spans="2:19" x14ac:dyDescent="0.35">
      <c r="D89" s="47"/>
      <c r="E89" s="47"/>
      <c r="J89" s="43"/>
    </row>
    <row r="90" spans="2:19" x14ac:dyDescent="0.35">
      <c r="D90" s="47"/>
      <c r="E90" s="47"/>
      <c r="J90" s="43"/>
    </row>
    <row r="91" spans="2:19" x14ac:dyDescent="0.35">
      <c r="D91" s="47"/>
      <c r="E91" s="47"/>
      <c r="J91" s="43"/>
    </row>
    <row r="92" spans="2:19" x14ac:dyDescent="0.35">
      <c r="D92" s="47"/>
      <c r="E92" s="47"/>
      <c r="J92" s="43"/>
    </row>
    <row r="93" spans="2:19" x14ac:dyDescent="0.35">
      <c r="D93" s="47"/>
      <c r="E93" s="47"/>
      <c r="J93" s="43"/>
    </row>
    <row r="94" spans="2:19" x14ac:dyDescent="0.35">
      <c r="D94" s="47"/>
      <c r="E94" s="47"/>
      <c r="J94" s="43"/>
    </row>
    <row r="95" spans="2:19" x14ac:dyDescent="0.35">
      <c r="D95" s="47"/>
      <c r="E95" s="47"/>
      <c r="J95" s="43"/>
    </row>
    <row r="96" spans="2:19" x14ac:dyDescent="0.35">
      <c r="D96" s="47"/>
      <c r="E96" s="47"/>
    </row>
  </sheetData>
  <mergeCells count="1">
    <mergeCell ref="B1:C1"/>
  </mergeCells>
  <conditionalFormatting sqref="L1:L1048576">
    <cfRule type="cellIs" dxfId="7" priority="7" operator="greaterThanOrEqual">
      <formula>60</formula>
    </cfRule>
    <cfRule type="cellIs" dxfId="6" priority="10" operator="between">
      <formula>21</formula>
      <formula>29</formula>
    </cfRule>
    <cfRule type="cellIs" dxfId="5" priority="11" operator="lessThan">
      <formula>20.1</formula>
    </cfRule>
    <cfRule type="cellIs" dxfId="4" priority="12" operator="between">
      <formula>29.5</formula>
      <formula>59.9</formula>
    </cfRule>
  </conditionalFormatting>
  <conditionalFormatting sqref="R1:R1048576">
    <cfRule type="cellIs" dxfId="3" priority="1" operator="greaterThanOrEqual">
      <formula>60</formula>
    </cfRule>
    <cfRule type="cellIs" dxfId="2" priority="4" operator="between">
      <formula>21</formula>
      <formula>29</formula>
    </cfRule>
    <cfRule type="cellIs" dxfId="1" priority="5" operator="lessThan">
      <formula>20.1</formula>
    </cfRule>
    <cfRule type="cellIs" dxfId="0" priority="6" operator="between">
      <formula>29.5</formula>
      <formula>59.9</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2A62-9E1F-42D5-B4EB-C54FF37412FA}">
  <sheetPr>
    <tabColor rgb="FFFFFF00"/>
  </sheetPr>
  <dimension ref="A1:E538"/>
  <sheetViews>
    <sheetView zoomScale="70" zoomScaleNormal="70" workbookViewId="0">
      <selection activeCell="C510" sqref="C510"/>
    </sheetView>
  </sheetViews>
  <sheetFormatPr defaultRowHeight="14.5" x14ac:dyDescent="0.35"/>
  <cols>
    <col min="1" max="1" width="10.6328125" style="20" customWidth="1"/>
    <col min="2" max="2" width="10.08984375" style="20" bestFit="1" customWidth="1"/>
    <col min="3" max="3" width="86.7265625" style="20" bestFit="1" customWidth="1"/>
    <col min="4" max="4" width="63.08984375" style="20" bestFit="1" customWidth="1"/>
    <col min="5" max="5" width="28.54296875" style="20" customWidth="1"/>
    <col min="6" max="16384" width="8.7265625" style="20"/>
  </cols>
  <sheetData>
    <row r="1" spans="1:5" ht="18.5" x14ac:dyDescent="0.35">
      <c r="A1" s="24" t="s">
        <v>203</v>
      </c>
      <c r="B1" s="24"/>
      <c r="C1" s="25"/>
      <c r="D1" s="26"/>
      <c r="E1" s="26"/>
    </row>
    <row r="2" spans="1:5" ht="15.5" x14ac:dyDescent="0.35">
      <c r="A2" s="27"/>
      <c r="B2" s="28"/>
      <c r="C2" s="42" t="s">
        <v>624</v>
      </c>
      <c r="D2" s="26"/>
      <c r="E2" s="26"/>
    </row>
    <row r="3" spans="1:5" ht="15.5" x14ac:dyDescent="0.35">
      <c r="A3" s="63" t="s">
        <v>204</v>
      </c>
      <c r="B3" s="63"/>
      <c r="C3" s="63"/>
      <c r="D3" s="63"/>
      <c r="E3" s="29"/>
    </row>
    <row r="4" spans="1:5" ht="16" thickBot="1" x14ac:dyDescent="0.4">
      <c r="A4" s="27"/>
      <c r="B4" s="27"/>
      <c r="C4" s="30"/>
      <c r="D4" s="26"/>
      <c r="E4" s="31"/>
    </row>
    <row r="5" spans="1:5" ht="19" thickBot="1" x14ac:dyDescent="0.4">
      <c r="A5" s="64" t="s">
        <v>205</v>
      </c>
      <c r="B5" s="65"/>
      <c r="C5" s="32" t="s">
        <v>206</v>
      </c>
      <c r="D5" s="32" t="s">
        <v>207</v>
      </c>
      <c r="E5" s="32" t="s">
        <v>5</v>
      </c>
    </row>
    <row r="6" spans="1:5" ht="15.5" x14ac:dyDescent="0.35">
      <c r="A6" s="33"/>
      <c r="B6" s="34"/>
      <c r="C6" s="34"/>
      <c r="D6" s="35"/>
      <c r="E6" s="36"/>
    </row>
    <row r="7" spans="1:5" ht="15.5" x14ac:dyDescent="0.35">
      <c r="A7" s="37" t="s">
        <v>208</v>
      </c>
      <c r="B7" s="38" t="s">
        <v>209</v>
      </c>
      <c r="C7" s="39" t="s">
        <v>210</v>
      </c>
      <c r="D7" s="40" t="s">
        <v>211</v>
      </c>
      <c r="E7" s="40"/>
    </row>
    <row r="8" spans="1:5" ht="15.5" x14ac:dyDescent="0.35">
      <c r="A8" s="37" t="s">
        <v>208</v>
      </c>
      <c r="B8" s="38" t="s">
        <v>212</v>
      </c>
      <c r="C8" s="39" t="s">
        <v>213</v>
      </c>
      <c r="D8" s="40" t="s">
        <v>211</v>
      </c>
      <c r="E8" s="40"/>
    </row>
    <row r="9" spans="1:5" ht="15.5" x14ac:dyDescent="0.35">
      <c r="A9" s="37" t="s">
        <v>208</v>
      </c>
      <c r="B9" s="38" t="s">
        <v>214</v>
      </c>
      <c r="C9" s="39" t="s">
        <v>215</v>
      </c>
      <c r="D9" s="40" t="s">
        <v>211</v>
      </c>
      <c r="E9" s="40"/>
    </row>
    <row r="10" spans="1:5" ht="15.5" x14ac:dyDescent="0.35">
      <c r="A10" s="37" t="s">
        <v>208</v>
      </c>
      <c r="B10" s="38" t="s">
        <v>214</v>
      </c>
      <c r="C10" s="39" t="s">
        <v>216</v>
      </c>
      <c r="D10" s="40" t="s">
        <v>211</v>
      </c>
      <c r="E10" s="40"/>
    </row>
    <row r="11" spans="1:5" ht="15.5" x14ac:dyDescent="0.35">
      <c r="A11" s="37" t="s">
        <v>208</v>
      </c>
      <c r="B11" s="38" t="s">
        <v>217</v>
      </c>
      <c r="C11" s="39" t="s">
        <v>218</v>
      </c>
      <c r="D11" s="40" t="s">
        <v>211</v>
      </c>
      <c r="E11" s="40"/>
    </row>
    <row r="12" spans="1:5" ht="15.5" x14ac:dyDescent="0.35">
      <c r="A12" s="37" t="s">
        <v>208</v>
      </c>
      <c r="B12" s="38" t="s">
        <v>219</v>
      </c>
      <c r="C12" s="39" t="s">
        <v>220</v>
      </c>
      <c r="D12" s="40" t="s">
        <v>211</v>
      </c>
      <c r="E12" s="40"/>
    </row>
    <row r="13" spans="1:5" ht="15.5" x14ac:dyDescent="0.35">
      <c r="A13" s="37" t="s">
        <v>208</v>
      </c>
      <c r="B13" s="38" t="s">
        <v>221</v>
      </c>
      <c r="C13" s="39" t="s">
        <v>222</v>
      </c>
      <c r="D13" s="40" t="s">
        <v>211</v>
      </c>
      <c r="E13" s="40"/>
    </row>
    <row r="14" spans="1:5" ht="15.5" x14ac:dyDescent="0.35">
      <c r="A14" s="37" t="s">
        <v>208</v>
      </c>
      <c r="B14" s="38" t="s">
        <v>223</v>
      </c>
      <c r="C14" s="39" t="s">
        <v>224</v>
      </c>
      <c r="D14" s="40" t="s">
        <v>211</v>
      </c>
      <c r="E14" s="40"/>
    </row>
    <row r="15" spans="1:5" ht="15.5" x14ac:dyDescent="0.35">
      <c r="A15" s="37" t="s">
        <v>208</v>
      </c>
      <c r="B15" s="38" t="s">
        <v>225</v>
      </c>
      <c r="C15" s="39" t="s">
        <v>226</v>
      </c>
      <c r="D15" s="40" t="s">
        <v>227</v>
      </c>
      <c r="E15" s="40"/>
    </row>
    <row r="16" spans="1:5" ht="15.5" x14ac:dyDescent="0.35">
      <c r="A16" s="37" t="s">
        <v>208</v>
      </c>
      <c r="B16" s="38" t="s">
        <v>228</v>
      </c>
      <c r="C16" s="39" t="s">
        <v>229</v>
      </c>
      <c r="D16" s="40" t="s">
        <v>227</v>
      </c>
      <c r="E16" s="40"/>
    </row>
    <row r="17" spans="1:5" ht="15.5" x14ac:dyDescent="0.35">
      <c r="A17" s="37" t="s">
        <v>208</v>
      </c>
      <c r="B17" s="38" t="s">
        <v>230</v>
      </c>
      <c r="C17" s="39" t="s">
        <v>231</v>
      </c>
      <c r="D17" s="40" t="s">
        <v>227</v>
      </c>
      <c r="E17" s="40"/>
    </row>
    <row r="18" spans="1:5" ht="15.5" x14ac:dyDescent="0.35">
      <c r="A18" s="37" t="s">
        <v>208</v>
      </c>
      <c r="B18" s="38" t="s">
        <v>232</v>
      </c>
      <c r="C18" s="39" t="s">
        <v>233</v>
      </c>
      <c r="D18" s="40" t="s">
        <v>227</v>
      </c>
      <c r="E18" s="40"/>
    </row>
    <row r="19" spans="1:5" ht="15.5" x14ac:dyDescent="0.35">
      <c r="A19" s="37" t="s">
        <v>208</v>
      </c>
      <c r="B19" s="38" t="s">
        <v>234</v>
      </c>
      <c r="C19" s="39" t="s">
        <v>235</v>
      </c>
      <c r="D19" s="40" t="s">
        <v>227</v>
      </c>
      <c r="E19" s="40"/>
    </row>
    <row r="20" spans="1:5" ht="15.5" x14ac:dyDescent="0.35">
      <c r="A20" s="37" t="s">
        <v>208</v>
      </c>
      <c r="B20" s="38" t="s">
        <v>236</v>
      </c>
      <c r="C20" s="39" t="s">
        <v>237</v>
      </c>
      <c r="D20" s="40" t="s">
        <v>227</v>
      </c>
      <c r="E20" s="40"/>
    </row>
    <row r="21" spans="1:5" ht="15.5" x14ac:dyDescent="0.35">
      <c r="A21" s="37" t="s">
        <v>208</v>
      </c>
      <c r="B21" s="38" t="s">
        <v>238</v>
      </c>
      <c r="C21" s="39" t="s">
        <v>239</v>
      </c>
      <c r="D21" s="40" t="s">
        <v>227</v>
      </c>
      <c r="E21" s="40"/>
    </row>
    <row r="22" spans="1:5" ht="15.5" x14ac:dyDescent="0.35">
      <c r="A22" s="37" t="s">
        <v>208</v>
      </c>
      <c r="B22" s="38" t="s">
        <v>240</v>
      </c>
      <c r="C22" s="39" t="s">
        <v>241</v>
      </c>
      <c r="D22" s="40" t="s">
        <v>227</v>
      </c>
      <c r="E22" s="40"/>
    </row>
    <row r="23" spans="1:5" ht="15.5" x14ac:dyDescent="0.35">
      <c r="A23" s="37" t="s">
        <v>208</v>
      </c>
      <c r="B23" s="38" t="s">
        <v>242</v>
      </c>
      <c r="C23" s="39" t="s">
        <v>243</v>
      </c>
      <c r="D23" s="40" t="s">
        <v>227</v>
      </c>
      <c r="E23" s="40"/>
    </row>
    <row r="24" spans="1:5" ht="15.5" x14ac:dyDescent="0.35">
      <c r="A24" s="37" t="s">
        <v>208</v>
      </c>
      <c r="B24" s="38" t="s">
        <v>244</v>
      </c>
      <c r="C24" s="39" t="s">
        <v>245</v>
      </c>
      <c r="D24" s="40" t="s">
        <v>227</v>
      </c>
      <c r="E24" s="40"/>
    </row>
    <row r="25" spans="1:5" ht="15.5" x14ac:dyDescent="0.35">
      <c r="A25" s="37" t="s">
        <v>208</v>
      </c>
      <c r="B25" s="38" t="s">
        <v>246</v>
      </c>
      <c r="C25" s="39" t="s">
        <v>247</v>
      </c>
      <c r="D25" s="40" t="s">
        <v>227</v>
      </c>
      <c r="E25" s="40"/>
    </row>
    <row r="26" spans="1:5" ht="15.5" x14ac:dyDescent="0.35">
      <c r="A26" s="37" t="s">
        <v>208</v>
      </c>
      <c r="B26" s="38" t="s">
        <v>248</v>
      </c>
      <c r="C26" s="39" t="s">
        <v>164</v>
      </c>
      <c r="D26" s="40" t="s">
        <v>227</v>
      </c>
      <c r="E26" s="40"/>
    </row>
    <row r="27" spans="1:5" ht="15.5" x14ac:dyDescent="0.35">
      <c r="A27" s="37" t="s">
        <v>208</v>
      </c>
      <c r="B27" s="38" t="s">
        <v>249</v>
      </c>
      <c r="C27" s="39" t="s">
        <v>250</v>
      </c>
      <c r="D27" s="40" t="s">
        <v>227</v>
      </c>
      <c r="E27" s="40"/>
    </row>
    <row r="28" spans="1:5" ht="15.5" x14ac:dyDescent="0.35">
      <c r="A28" s="37" t="s">
        <v>208</v>
      </c>
      <c r="B28" s="38" t="s">
        <v>251</v>
      </c>
      <c r="C28" s="39" t="s">
        <v>250</v>
      </c>
      <c r="D28" s="40" t="s">
        <v>227</v>
      </c>
      <c r="E28" s="40"/>
    </row>
    <row r="29" spans="1:5" ht="15.5" x14ac:dyDescent="0.35">
      <c r="A29" s="37" t="s">
        <v>208</v>
      </c>
      <c r="B29" s="38" t="s">
        <v>252</v>
      </c>
      <c r="C29" s="39" t="s">
        <v>250</v>
      </c>
      <c r="D29" s="40" t="s">
        <v>227</v>
      </c>
      <c r="E29" s="40"/>
    </row>
    <row r="30" spans="1:5" ht="15.5" x14ac:dyDescent="0.35">
      <c r="A30" s="37" t="s">
        <v>208</v>
      </c>
      <c r="B30" s="38" t="s">
        <v>253</v>
      </c>
      <c r="C30" s="39" t="s">
        <v>250</v>
      </c>
      <c r="D30" s="40" t="s">
        <v>227</v>
      </c>
      <c r="E30" s="40"/>
    </row>
    <row r="31" spans="1:5" ht="15.5" x14ac:dyDescent="0.35">
      <c r="A31" s="37" t="s">
        <v>208</v>
      </c>
      <c r="B31" s="38" t="s">
        <v>46</v>
      </c>
      <c r="C31" s="39" t="s">
        <v>250</v>
      </c>
      <c r="D31" s="40" t="s">
        <v>227</v>
      </c>
      <c r="E31" s="40"/>
    </row>
    <row r="32" spans="1:5" ht="15.5" x14ac:dyDescent="0.35">
      <c r="A32" s="37" t="s">
        <v>208</v>
      </c>
      <c r="B32" s="38" t="s">
        <v>254</v>
      </c>
      <c r="C32" s="39" t="s">
        <v>250</v>
      </c>
      <c r="D32" s="40" t="s">
        <v>227</v>
      </c>
      <c r="E32" s="40"/>
    </row>
    <row r="33" spans="1:5" ht="15.5" x14ac:dyDescent="0.35">
      <c r="A33" s="37" t="s">
        <v>208</v>
      </c>
      <c r="B33" s="38" t="s">
        <v>255</v>
      </c>
      <c r="C33" s="39" t="s">
        <v>250</v>
      </c>
      <c r="D33" s="40" t="s">
        <v>227</v>
      </c>
      <c r="E33" s="40"/>
    </row>
    <row r="34" spans="1:5" ht="15.5" x14ac:dyDescent="0.35">
      <c r="A34" s="37" t="s">
        <v>208</v>
      </c>
      <c r="B34" s="38" t="s">
        <v>47</v>
      </c>
      <c r="C34" s="39" t="s">
        <v>250</v>
      </c>
      <c r="D34" s="40" t="s">
        <v>227</v>
      </c>
      <c r="E34" s="40"/>
    </row>
    <row r="35" spans="1:5" ht="15.5" x14ac:dyDescent="0.35">
      <c r="A35" s="37" t="s">
        <v>208</v>
      </c>
      <c r="B35" s="38" t="s">
        <v>256</v>
      </c>
      <c r="C35" s="39" t="s">
        <v>257</v>
      </c>
      <c r="D35" s="40" t="s">
        <v>227</v>
      </c>
      <c r="E35" s="40"/>
    </row>
    <row r="36" spans="1:5" ht="15.5" x14ac:dyDescent="0.35">
      <c r="A36" s="37" t="s">
        <v>208</v>
      </c>
      <c r="B36" s="38" t="s">
        <v>258</v>
      </c>
      <c r="C36" s="39" t="s">
        <v>259</v>
      </c>
      <c r="D36" s="40" t="s">
        <v>227</v>
      </c>
      <c r="E36" s="40"/>
    </row>
    <row r="37" spans="1:5" ht="15.5" x14ac:dyDescent="0.35">
      <c r="A37" s="37" t="s">
        <v>208</v>
      </c>
      <c r="B37" s="38" t="s">
        <v>249</v>
      </c>
      <c r="C37" s="39" t="s">
        <v>250</v>
      </c>
      <c r="D37" s="40" t="s">
        <v>227</v>
      </c>
      <c r="E37" s="40"/>
    </row>
    <row r="38" spans="1:5" ht="15.5" x14ac:dyDescent="0.35">
      <c r="A38" s="37" t="s">
        <v>208</v>
      </c>
      <c r="B38" s="38" t="s">
        <v>260</v>
      </c>
      <c r="C38" s="39" t="s">
        <v>250</v>
      </c>
      <c r="D38" s="40" t="s">
        <v>227</v>
      </c>
      <c r="E38" s="40"/>
    </row>
    <row r="39" spans="1:5" ht="15.5" x14ac:dyDescent="0.35">
      <c r="A39" s="37" t="s">
        <v>208</v>
      </c>
      <c r="B39" s="38" t="s">
        <v>252</v>
      </c>
      <c r="C39" s="39" t="s">
        <v>250</v>
      </c>
      <c r="D39" s="40" t="s">
        <v>227</v>
      </c>
      <c r="E39" s="40"/>
    </row>
    <row r="40" spans="1:5" ht="15.5" x14ac:dyDescent="0.35">
      <c r="A40" s="37" t="s">
        <v>208</v>
      </c>
      <c r="B40" s="38" t="s">
        <v>253</v>
      </c>
      <c r="C40" s="39" t="s">
        <v>250</v>
      </c>
      <c r="D40" s="40" t="s">
        <v>227</v>
      </c>
      <c r="E40" s="40"/>
    </row>
    <row r="41" spans="1:5" ht="15.5" x14ac:dyDescent="0.35">
      <c r="A41" s="37" t="s">
        <v>208</v>
      </c>
      <c r="B41" s="38" t="s">
        <v>261</v>
      </c>
      <c r="C41" s="39" t="s">
        <v>259</v>
      </c>
      <c r="D41" s="40" t="s">
        <v>227</v>
      </c>
      <c r="E41" s="40"/>
    </row>
    <row r="42" spans="1:5" ht="15.5" x14ac:dyDescent="0.35">
      <c r="A42" s="37" t="s">
        <v>208</v>
      </c>
      <c r="B42" s="38" t="s">
        <v>262</v>
      </c>
      <c r="C42" s="39" t="s">
        <v>263</v>
      </c>
      <c r="D42" s="40" t="s">
        <v>227</v>
      </c>
      <c r="E42" s="40"/>
    </row>
    <row r="43" spans="1:5" ht="15.5" x14ac:dyDescent="0.35">
      <c r="A43" s="37" t="s">
        <v>208</v>
      </c>
      <c r="B43" s="38" t="s">
        <v>264</v>
      </c>
      <c r="C43" s="39" t="s">
        <v>265</v>
      </c>
      <c r="D43" s="40" t="s">
        <v>266</v>
      </c>
      <c r="E43" s="40"/>
    </row>
    <row r="44" spans="1:5" ht="15.5" x14ac:dyDescent="0.35">
      <c r="A44" s="37" t="s">
        <v>208</v>
      </c>
      <c r="B44" s="38">
        <v>82</v>
      </c>
      <c r="C44" s="39" t="s">
        <v>267</v>
      </c>
      <c r="D44" s="40" t="s">
        <v>227</v>
      </c>
      <c r="E44" s="40"/>
    </row>
    <row r="45" spans="1:5" ht="15.5" x14ac:dyDescent="0.35">
      <c r="A45" s="37" t="s">
        <v>208</v>
      </c>
      <c r="B45" s="38">
        <v>83</v>
      </c>
      <c r="C45" s="39" t="s">
        <v>268</v>
      </c>
      <c r="D45" s="40" t="s">
        <v>227</v>
      </c>
      <c r="E45" s="40"/>
    </row>
    <row r="46" spans="1:5" ht="15.5" x14ac:dyDescent="0.35">
      <c r="A46" s="37" t="s">
        <v>208</v>
      </c>
      <c r="B46" s="38">
        <v>84</v>
      </c>
      <c r="C46" s="39" t="s">
        <v>268</v>
      </c>
      <c r="D46" s="40" t="s">
        <v>227</v>
      </c>
      <c r="E46" s="40"/>
    </row>
    <row r="47" spans="1:5" ht="15.5" x14ac:dyDescent="0.35">
      <c r="A47" s="37" t="s">
        <v>208</v>
      </c>
      <c r="B47" s="38">
        <v>85</v>
      </c>
      <c r="C47" s="39" t="s">
        <v>268</v>
      </c>
      <c r="D47" s="40" t="s">
        <v>227</v>
      </c>
      <c r="E47" s="40"/>
    </row>
    <row r="48" spans="1:5" ht="15.5" x14ac:dyDescent="0.35">
      <c r="A48" s="37" t="s">
        <v>208</v>
      </c>
      <c r="B48" s="38">
        <v>86</v>
      </c>
      <c r="C48" s="39" t="s">
        <v>268</v>
      </c>
      <c r="D48" s="40" t="s">
        <v>227</v>
      </c>
      <c r="E48" s="40"/>
    </row>
    <row r="49" spans="1:5" ht="15.5" x14ac:dyDescent="0.35">
      <c r="A49" s="37" t="s">
        <v>208</v>
      </c>
      <c r="B49" s="38">
        <v>87</v>
      </c>
      <c r="C49" s="39" t="s">
        <v>268</v>
      </c>
      <c r="D49" s="40" t="s">
        <v>227</v>
      </c>
      <c r="E49" s="40"/>
    </row>
    <row r="50" spans="1:5" ht="15.5" x14ac:dyDescent="0.35">
      <c r="A50" s="37" t="s">
        <v>208</v>
      </c>
      <c r="B50" s="38" t="s">
        <v>269</v>
      </c>
      <c r="C50" s="39" t="s">
        <v>270</v>
      </c>
      <c r="D50" s="40" t="s">
        <v>271</v>
      </c>
      <c r="E50" s="40"/>
    </row>
    <row r="51" spans="1:5" ht="15.5" x14ac:dyDescent="0.35">
      <c r="A51" s="37" t="s">
        <v>208</v>
      </c>
      <c r="B51" s="38" t="s">
        <v>272</v>
      </c>
      <c r="C51" s="39" t="s">
        <v>273</v>
      </c>
      <c r="D51" s="40" t="s">
        <v>271</v>
      </c>
      <c r="E51" s="40"/>
    </row>
    <row r="52" spans="1:5" ht="15.5" x14ac:dyDescent="0.35">
      <c r="A52" s="37" t="s">
        <v>208</v>
      </c>
      <c r="B52" s="38" t="s">
        <v>274</v>
      </c>
      <c r="C52" s="39" t="s">
        <v>275</v>
      </c>
      <c r="D52" s="40" t="s">
        <v>271</v>
      </c>
      <c r="E52" s="40"/>
    </row>
    <row r="53" spans="1:5" ht="15.5" x14ac:dyDescent="0.35">
      <c r="A53" s="37"/>
      <c r="B53" s="38"/>
      <c r="C53" s="39"/>
      <c r="D53" s="40"/>
      <c r="E53" s="40"/>
    </row>
    <row r="54" spans="1:5" ht="15.5" x14ac:dyDescent="0.35">
      <c r="A54" s="37" t="s">
        <v>208</v>
      </c>
      <c r="B54" s="38" t="s">
        <v>7</v>
      </c>
      <c r="C54" s="39" t="s">
        <v>140</v>
      </c>
      <c r="D54" s="40" t="s">
        <v>211</v>
      </c>
      <c r="E54" s="40"/>
    </row>
    <row r="55" spans="1:5" ht="15.5" x14ac:dyDescent="0.35">
      <c r="A55" s="37" t="s">
        <v>208</v>
      </c>
      <c r="B55" s="38" t="s">
        <v>8</v>
      </c>
      <c r="C55" s="39" t="s">
        <v>141</v>
      </c>
      <c r="D55" s="40" t="s">
        <v>276</v>
      </c>
      <c r="E55" s="40"/>
    </row>
    <row r="56" spans="1:5" ht="15.5" x14ac:dyDescent="0.35">
      <c r="A56" s="37" t="s">
        <v>208</v>
      </c>
      <c r="B56" s="38" t="s">
        <v>9</v>
      </c>
      <c r="C56" s="39" t="s">
        <v>142</v>
      </c>
      <c r="D56" s="40" t="s">
        <v>211</v>
      </c>
      <c r="E56" s="40"/>
    </row>
    <row r="57" spans="1:5" ht="15.5" x14ac:dyDescent="0.35">
      <c r="A57" s="37" t="s">
        <v>208</v>
      </c>
      <c r="B57" s="38" t="s">
        <v>10</v>
      </c>
      <c r="C57" s="39" t="s">
        <v>143</v>
      </c>
      <c r="D57" s="40" t="s">
        <v>211</v>
      </c>
      <c r="E57" s="40"/>
    </row>
    <row r="58" spans="1:5" ht="15.5" x14ac:dyDescent="0.35">
      <c r="A58" s="37" t="s">
        <v>208</v>
      </c>
      <c r="B58" s="38" t="s">
        <v>11</v>
      </c>
      <c r="C58" s="39" t="s">
        <v>144</v>
      </c>
      <c r="D58" s="40" t="s">
        <v>211</v>
      </c>
      <c r="E58" s="40"/>
    </row>
    <row r="59" spans="1:5" ht="15.5" x14ac:dyDescent="0.35">
      <c r="A59" s="37" t="s">
        <v>208</v>
      </c>
      <c r="B59" s="38" t="s">
        <v>12</v>
      </c>
      <c r="C59" s="39" t="s">
        <v>144</v>
      </c>
      <c r="D59" s="40" t="s">
        <v>227</v>
      </c>
      <c r="E59" s="40"/>
    </row>
    <row r="60" spans="1:5" ht="15.5" x14ac:dyDescent="0.35">
      <c r="A60" s="37" t="s">
        <v>208</v>
      </c>
      <c r="B60" s="38" t="s">
        <v>13</v>
      </c>
      <c r="C60" s="39" t="s">
        <v>145</v>
      </c>
      <c r="D60" s="40" t="s">
        <v>276</v>
      </c>
      <c r="E60" s="40" t="s">
        <v>625</v>
      </c>
    </row>
    <row r="61" spans="1:5" ht="15.5" x14ac:dyDescent="0.35">
      <c r="A61" s="37" t="s">
        <v>208</v>
      </c>
      <c r="B61" s="38" t="s">
        <v>14</v>
      </c>
      <c r="C61" s="39" t="s">
        <v>146</v>
      </c>
      <c r="D61" s="40" t="s">
        <v>276</v>
      </c>
      <c r="E61" s="40" t="s">
        <v>627</v>
      </c>
    </row>
    <row r="62" spans="1:5" ht="15.5" x14ac:dyDescent="0.35">
      <c r="A62" s="37" t="s">
        <v>208</v>
      </c>
      <c r="B62" s="38" t="s">
        <v>15</v>
      </c>
      <c r="C62" s="39" t="s">
        <v>147</v>
      </c>
      <c r="D62" s="40" t="s">
        <v>276</v>
      </c>
      <c r="E62" s="40" t="s">
        <v>626</v>
      </c>
    </row>
    <row r="63" spans="1:5" ht="15.5" x14ac:dyDescent="0.35">
      <c r="A63" s="37" t="s">
        <v>208</v>
      </c>
      <c r="B63" s="38" t="s">
        <v>16</v>
      </c>
      <c r="C63" s="39" t="s">
        <v>148</v>
      </c>
      <c r="D63" s="40" t="s">
        <v>227</v>
      </c>
      <c r="E63" s="40"/>
    </row>
    <row r="64" spans="1:5" ht="15.5" x14ac:dyDescent="0.35">
      <c r="A64" s="37" t="s">
        <v>208</v>
      </c>
      <c r="B64" s="38" t="s">
        <v>17</v>
      </c>
      <c r="C64" s="39" t="s">
        <v>148</v>
      </c>
      <c r="D64" s="40" t="s">
        <v>227</v>
      </c>
      <c r="E64" s="40"/>
    </row>
    <row r="65" spans="1:5" ht="15.5" x14ac:dyDescent="0.35">
      <c r="A65" s="37" t="s">
        <v>208</v>
      </c>
      <c r="B65" s="38" t="s">
        <v>277</v>
      </c>
      <c r="C65" s="39" t="s">
        <v>149</v>
      </c>
      <c r="D65" s="40" t="s">
        <v>276</v>
      </c>
      <c r="E65" s="40"/>
    </row>
    <row r="66" spans="1:5" ht="15.5" x14ac:dyDescent="0.35">
      <c r="A66" s="37" t="s">
        <v>208</v>
      </c>
      <c r="B66" s="38" t="s">
        <v>278</v>
      </c>
      <c r="C66" s="39" t="s">
        <v>150</v>
      </c>
      <c r="D66" s="40" t="s">
        <v>227</v>
      </c>
      <c r="E66" s="40"/>
    </row>
    <row r="67" spans="1:5" ht="15.5" x14ac:dyDescent="0.35">
      <c r="A67" s="37" t="s">
        <v>208</v>
      </c>
      <c r="B67" s="38" t="s">
        <v>279</v>
      </c>
      <c r="C67" s="39" t="s">
        <v>280</v>
      </c>
      <c r="D67" s="40" t="s">
        <v>227</v>
      </c>
      <c r="E67" s="40"/>
    </row>
    <row r="68" spans="1:5" ht="15.5" x14ac:dyDescent="0.35">
      <c r="A68" s="37" t="s">
        <v>208</v>
      </c>
      <c r="B68" s="38" t="s">
        <v>281</v>
      </c>
      <c r="C68" s="39" t="s">
        <v>282</v>
      </c>
      <c r="D68" s="40" t="s">
        <v>227</v>
      </c>
      <c r="E68" s="40"/>
    </row>
    <row r="69" spans="1:5" ht="15.5" x14ac:dyDescent="0.35">
      <c r="A69" s="37" t="s">
        <v>208</v>
      </c>
      <c r="B69" s="38" t="s">
        <v>18</v>
      </c>
      <c r="C69" s="39" t="s">
        <v>151</v>
      </c>
      <c r="D69" s="40" t="s">
        <v>276</v>
      </c>
      <c r="E69" s="40"/>
    </row>
    <row r="70" spans="1:5" ht="15.5" x14ac:dyDescent="0.35">
      <c r="A70" s="37" t="s">
        <v>208</v>
      </c>
      <c r="B70" s="38" t="s">
        <v>19</v>
      </c>
      <c r="C70" s="39" t="s">
        <v>152</v>
      </c>
      <c r="D70" s="40" t="s">
        <v>276</v>
      </c>
      <c r="E70" s="40"/>
    </row>
    <row r="71" spans="1:5" ht="15.5" x14ac:dyDescent="0.35">
      <c r="A71" s="37" t="s">
        <v>208</v>
      </c>
      <c r="B71" s="38" t="s">
        <v>20</v>
      </c>
      <c r="C71" s="39" t="s">
        <v>153</v>
      </c>
      <c r="D71" s="40" t="s">
        <v>276</v>
      </c>
      <c r="E71" s="40"/>
    </row>
    <row r="72" spans="1:5" ht="15.5" x14ac:dyDescent="0.35">
      <c r="A72" s="37" t="s">
        <v>208</v>
      </c>
      <c r="B72" s="38" t="s">
        <v>21</v>
      </c>
      <c r="C72" s="39" t="s">
        <v>154</v>
      </c>
      <c r="D72" s="40" t="s">
        <v>227</v>
      </c>
      <c r="E72" s="40"/>
    </row>
    <row r="73" spans="1:5" ht="15.5" x14ac:dyDescent="0.35">
      <c r="A73" s="37" t="s">
        <v>208</v>
      </c>
      <c r="B73" s="38" t="s">
        <v>22</v>
      </c>
      <c r="C73" s="39" t="s">
        <v>155</v>
      </c>
      <c r="D73" s="40" t="s">
        <v>227</v>
      </c>
      <c r="E73" s="40"/>
    </row>
    <row r="74" spans="1:5" ht="15.5" x14ac:dyDescent="0.35">
      <c r="A74" s="37" t="s">
        <v>208</v>
      </c>
      <c r="B74" s="38" t="s">
        <v>23</v>
      </c>
      <c r="C74" s="39" t="s">
        <v>156</v>
      </c>
      <c r="D74" s="40" t="s">
        <v>227</v>
      </c>
      <c r="E74" s="40"/>
    </row>
    <row r="75" spans="1:5" ht="15.5" x14ac:dyDescent="0.35">
      <c r="A75" s="37" t="s">
        <v>208</v>
      </c>
      <c r="B75" s="38" t="s">
        <v>24</v>
      </c>
      <c r="C75" s="39" t="s">
        <v>157</v>
      </c>
      <c r="D75" s="40" t="s">
        <v>227</v>
      </c>
      <c r="E75" s="40"/>
    </row>
    <row r="76" spans="1:5" ht="15.5" x14ac:dyDescent="0.35">
      <c r="A76" s="37" t="s">
        <v>208</v>
      </c>
      <c r="B76" s="38" t="s">
        <v>25</v>
      </c>
      <c r="C76" s="39" t="s">
        <v>158</v>
      </c>
      <c r="D76" s="40" t="s">
        <v>227</v>
      </c>
      <c r="E76" s="40"/>
    </row>
    <row r="77" spans="1:5" ht="15.5" x14ac:dyDescent="0.35">
      <c r="A77" s="37" t="s">
        <v>208</v>
      </c>
      <c r="B77" s="38" t="s">
        <v>26</v>
      </c>
      <c r="C77" s="39" t="s">
        <v>159</v>
      </c>
      <c r="D77" s="40" t="s">
        <v>227</v>
      </c>
      <c r="E77" s="40"/>
    </row>
    <row r="78" spans="1:5" ht="15.5" x14ac:dyDescent="0.35">
      <c r="A78" s="37" t="s">
        <v>208</v>
      </c>
      <c r="B78" s="38" t="s">
        <v>27</v>
      </c>
      <c r="C78" s="39" t="s">
        <v>160</v>
      </c>
      <c r="D78" s="40" t="s">
        <v>227</v>
      </c>
      <c r="E78" s="40"/>
    </row>
    <row r="79" spans="1:5" ht="15.5" x14ac:dyDescent="0.35">
      <c r="A79" s="37" t="s">
        <v>208</v>
      </c>
      <c r="B79" s="38" t="s">
        <v>28</v>
      </c>
      <c r="C79" s="39" t="s">
        <v>161</v>
      </c>
      <c r="D79" s="40" t="s">
        <v>276</v>
      </c>
      <c r="E79" s="40" t="s">
        <v>283</v>
      </c>
    </row>
    <row r="80" spans="1:5" ht="15.5" x14ac:dyDescent="0.35">
      <c r="A80" s="37" t="s">
        <v>208</v>
      </c>
      <c r="B80" s="38" t="s">
        <v>29</v>
      </c>
      <c r="C80" s="39" t="s">
        <v>162</v>
      </c>
      <c r="D80" s="40" t="s">
        <v>227</v>
      </c>
      <c r="E80" s="40"/>
    </row>
    <row r="81" spans="1:5" ht="15.5" x14ac:dyDescent="0.35">
      <c r="A81" s="37" t="s">
        <v>208</v>
      </c>
      <c r="B81" s="38" t="s">
        <v>30</v>
      </c>
      <c r="C81" s="39" t="s">
        <v>163</v>
      </c>
      <c r="D81" s="40" t="s">
        <v>227</v>
      </c>
      <c r="E81" s="40"/>
    </row>
    <row r="82" spans="1:5" ht="15.5" x14ac:dyDescent="0.35">
      <c r="A82" s="37" t="s">
        <v>208</v>
      </c>
      <c r="B82" s="38" t="s">
        <v>31</v>
      </c>
      <c r="C82" s="39" t="s">
        <v>164</v>
      </c>
      <c r="D82" s="40" t="s">
        <v>227</v>
      </c>
      <c r="E82" s="40"/>
    </row>
    <row r="83" spans="1:5" ht="15.5" x14ac:dyDescent="0.35">
      <c r="A83" s="37" t="s">
        <v>208</v>
      </c>
      <c r="B83" s="38" t="s">
        <v>32</v>
      </c>
      <c r="C83" s="39" t="s">
        <v>165</v>
      </c>
      <c r="D83" s="40" t="s">
        <v>227</v>
      </c>
      <c r="E83" s="40"/>
    </row>
    <row r="84" spans="1:5" ht="15.5" x14ac:dyDescent="0.35">
      <c r="A84" s="37" t="s">
        <v>208</v>
      </c>
      <c r="B84" s="38" t="s">
        <v>33</v>
      </c>
      <c r="C84" s="39" t="s">
        <v>166</v>
      </c>
      <c r="D84" s="40" t="s">
        <v>227</v>
      </c>
      <c r="E84" s="40"/>
    </row>
    <row r="85" spans="1:5" ht="15.5" x14ac:dyDescent="0.35">
      <c r="A85" s="37" t="s">
        <v>208</v>
      </c>
      <c r="B85" s="38" t="s">
        <v>34</v>
      </c>
      <c r="C85" s="39" t="s">
        <v>167</v>
      </c>
      <c r="D85" s="40" t="s">
        <v>227</v>
      </c>
      <c r="E85" s="40"/>
    </row>
    <row r="86" spans="1:5" ht="15.5" x14ac:dyDescent="0.35">
      <c r="A86" s="37" t="s">
        <v>208</v>
      </c>
      <c r="B86" s="38" t="s">
        <v>35</v>
      </c>
      <c r="C86" s="39" t="s">
        <v>168</v>
      </c>
      <c r="D86" s="40" t="s">
        <v>2</v>
      </c>
      <c r="E86" s="40"/>
    </row>
    <row r="87" spans="1:5" ht="15.5" x14ac:dyDescent="0.35">
      <c r="A87" s="37" t="s">
        <v>208</v>
      </c>
      <c r="B87" s="38" t="s">
        <v>36</v>
      </c>
      <c r="C87" s="39" t="s">
        <v>169</v>
      </c>
      <c r="D87" s="40" t="s">
        <v>227</v>
      </c>
      <c r="E87" s="40"/>
    </row>
    <row r="88" spans="1:5" ht="15.5" x14ac:dyDescent="0.35">
      <c r="A88" s="37" t="s">
        <v>208</v>
      </c>
      <c r="B88" s="38" t="s">
        <v>37</v>
      </c>
      <c r="C88" s="39" t="s">
        <v>170</v>
      </c>
      <c r="D88" s="40" t="s">
        <v>227</v>
      </c>
      <c r="E88" s="40" t="s">
        <v>284</v>
      </c>
    </row>
    <row r="89" spans="1:5" ht="15.5" x14ac:dyDescent="0.35">
      <c r="A89" s="37" t="s">
        <v>208</v>
      </c>
      <c r="B89" s="38" t="s">
        <v>38</v>
      </c>
      <c r="C89" s="39" t="s">
        <v>171</v>
      </c>
      <c r="D89" s="40" t="s">
        <v>227</v>
      </c>
      <c r="E89" s="40" t="s">
        <v>284</v>
      </c>
    </row>
    <row r="90" spans="1:5" ht="15.5" x14ac:dyDescent="0.35">
      <c r="A90" s="37" t="s">
        <v>208</v>
      </c>
      <c r="B90" s="38" t="s">
        <v>285</v>
      </c>
      <c r="C90" s="39" t="s">
        <v>286</v>
      </c>
      <c r="D90" s="40" t="s">
        <v>227</v>
      </c>
      <c r="E90" s="40" t="s">
        <v>284</v>
      </c>
    </row>
    <row r="91" spans="1:5" ht="15.5" x14ac:dyDescent="0.35">
      <c r="A91" s="37" t="s">
        <v>208</v>
      </c>
      <c r="B91" s="38" t="s">
        <v>287</v>
      </c>
      <c r="C91" s="39" t="s">
        <v>286</v>
      </c>
      <c r="D91" s="40" t="s">
        <v>227</v>
      </c>
      <c r="E91" s="40" t="s">
        <v>284</v>
      </c>
    </row>
    <row r="92" spans="1:5" ht="15.5" x14ac:dyDescent="0.35">
      <c r="A92" s="37" t="s">
        <v>208</v>
      </c>
      <c r="B92" s="38" t="s">
        <v>288</v>
      </c>
      <c r="C92" s="39" t="s">
        <v>173</v>
      </c>
      <c r="D92" s="40" t="s">
        <v>227</v>
      </c>
      <c r="E92" s="40"/>
    </row>
    <row r="93" spans="1:5" ht="15.5" x14ac:dyDescent="0.35">
      <c r="A93" s="37" t="s">
        <v>208</v>
      </c>
      <c r="B93" s="38" t="s">
        <v>39</v>
      </c>
      <c r="C93" s="39" t="s">
        <v>172</v>
      </c>
      <c r="D93" s="40" t="s">
        <v>227</v>
      </c>
      <c r="E93" s="40"/>
    </row>
    <row r="94" spans="1:5" ht="15.5" x14ac:dyDescent="0.35">
      <c r="A94" s="37" t="s">
        <v>208</v>
      </c>
      <c r="B94" s="38" t="s">
        <v>289</v>
      </c>
      <c r="C94" s="39" t="s">
        <v>173</v>
      </c>
      <c r="D94" s="40" t="s">
        <v>227</v>
      </c>
      <c r="E94" s="40"/>
    </row>
    <row r="95" spans="1:5" ht="15.5" x14ac:dyDescent="0.35">
      <c r="A95" s="37" t="s">
        <v>208</v>
      </c>
      <c r="B95" s="38" t="s">
        <v>40</v>
      </c>
      <c r="C95" s="39" t="s">
        <v>172</v>
      </c>
      <c r="D95" s="40" t="s">
        <v>227</v>
      </c>
      <c r="E95" s="40"/>
    </row>
    <row r="96" spans="1:5" ht="15.5" x14ac:dyDescent="0.35">
      <c r="A96" s="37" t="s">
        <v>208</v>
      </c>
      <c r="B96" s="38" t="s">
        <v>41</v>
      </c>
      <c r="C96" s="39" t="s">
        <v>173</v>
      </c>
      <c r="D96" s="40" t="s">
        <v>227</v>
      </c>
      <c r="E96" s="40"/>
    </row>
    <row r="97" spans="1:5" ht="15.5" x14ac:dyDescent="0.35">
      <c r="A97" s="37" t="s">
        <v>208</v>
      </c>
      <c r="B97" s="38" t="s">
        <v>42</v>
      </c>
      <c r="C97" s="39" t="s">
        <v>172</v>
      </c>
      <c r="D97" s="40" t="s">
        <v>227</v>
      </c>
      <c r="E97" s="40"/>
    </row>
    <row r="98" spans="1:5" ht="15.5" x14ac:dyDescent="0.35">
      <c r="A98" s="37" t="s">
        <v>208</v>
      </c>
      <c r="B98" s="38" t="s">
        <v>290</v>
      </c>
      <c r="C98" s="39" t="s">
        <v>173</v>
      </c>
      <c r="D98" s="40" t="s">
        <v>227</v>
      </c>
      <c r="E98" s="40"/>
    </row>
    <row r="99" spans="1:5" ht="15.5" x14ac:dyDescent="0.35">
      <c r="A99" s="37" t="s">
        <v>208</v>
      </c>
      <c r="B99" s="38" t="s">
        <v>43</v>
      </c>
      <c r="C99" s="39" t="s">
        <v>172</v>
      </c>
      <c r="D99" s="40" t="s">
        <v>227</v>
      </c>
      <c r="E99" s="40"/>
    </row>
    <row r="100" spans="1:5" ht="15.5" x14ac:dyDescent="0.35">
      <c r="A100" s="37" t="s">
        <v>208</v>
      </c>
      <c r="B100" s="38" t="s">
        <v>44</v>
      </c>
      <c r="C100" s="39" t="s">
        <v>173</v>
      </c>
      <c r="D100" s="40" t="s">
        <v>227</v>
      </c>
      <c r="E100" s="40"/>
    </row>
    <row r="101" spans="1:5" ht="15.5" x14ac:dyDescent="0.35">
      <c r="A101" s="37" t="s">
        <v>208</v>
      </c>
      <c r="B101" s="38" t="s">
        <v>45</v>
      </c>
      <c r="C101" s="39" t="s">
        <v>172</v>
      </c>
      <c r="D101" s="40" t="s">
        <v>227</v>
      </c>
      <c r="E101" s="40"/>
    </row>
    <row r="102" spans="1:5" ht="15.5" x14ac:dyDescent="0.35">
      <c r="A102" s="37" t="s">
        <v>208</v>
      </c>
      <c r="B102" s="38" t="s">
        <v>291</v>
      </c>
      <c r="C102" s="39" t="s">
        <v>292</v>
      </c>
      <c r="D102" s="40" t="s">
        <v>227</v>
      </c>
      <c r="E102" s="40"/>
    </row>
    <row r="103" spans="1:5" ht="15.5" x14ac:dyDescent="0.35">
      <c r="A103" s="37" t="s">
        <v>208</v>
      </c>
      <c r="B103" s="38" t="s">
        <v>293</v>
      </c>
      <c r="C103" s="39" t="s">
        <v>294</v>
      </c>
      <c r="D103" s="40" t="s">
        <v>227</v>
      </c>
      <c r="E103" s="40"/>
    </row>
    <row r="104" spans="1:5" ht="15.5" x14ac:dyDescent="0.35">
      <c r="A104" s="37" t="s">
        <v>208</v>
      </c>
      <c r="B104" s="38">
        <v>80</v>
      </c>
      <c r="C104" s="39" t="s">
        <v>174</v>
      </c>
      <c r="D104" s="40" t="s">
        <v>227</v>
      </c>
      <c r="E104" s="40"/>
    </row>
    <row r="105" spans="1:5" ht="15.5" x14ac:dyDescent="0.35">
      <c r="A105" s="37" t="s">
        <v>208</v>
      </c>
      <c r="B105" s="38">
        <v>81</v>
      </c>
      <c r="C105" s="39" t="s">
        <v>174</v>
      </c>
      <c r="D105" s="40" t="s">
        <v>227</v>
      </c>
      <c r="E105" s="40"/>
    </row>
    <row r="106" spans="1:5" ht="15.5" x14ac:dyDescent="0.35">
      <c r="A106" s="37" t="s">
        <v>208</v>
      </c>
      <c r="B106" s="38" t="s">
        <v>46</v>
      </c>
      <c r="C106" s="39" t="s">
        <v>175</v>
      </c>
      <c r="D106" s="40" t="s">
        <v>227</v>
      </c>
      <c r="E106" s="40"/>
    </row>
    <row r="107" spans="1:5" ht="15.5" x14ac:dyDescent="0.35">
      <c r="A107" s="37" t="s">
        <v>208</v>
      </c>
      <c r="B107" s="38" t="s">
        <v>47</v>
      </c>
      <c r="C107" s="39" t="s">
        <v>175</v>
      </c>
      <c r="D107" s="40" t="s">
        <v>227</v>
      </c>
      <c r="E107" s="40"/>
    </row>
    <row r="108" spans="1:5" ht="15.5" x14ac:dyDescent="0.35">
      <c r="A108" s="37" t="s">
        <v>208</v>
      </c>
      <c r="B108" s="38" t="s">
        <v>48</v>
      </c>
      <c r="C108" s="39" t="s">
        <v>175</v>
      </c>
      <c r="D108" s="40" t="s">
        <v>227</v>
      </c>
      <c r="E108" s="40" t="s">
        <v>283</v>
      </c>
    </row>
    <row r="109" spans="1:5" ht="15.5" x14ac:dyDescent="0.35">
      <c r="A109" s="37" t="s">
        <v>208</v>
      </c>
      <c r="B109" s="38" t="s">
        <v>48</v>
      </c>
      <c r="C109" s="39" t="s">
        <v>175</v>
      </c>
      <c r="D109" s="40" t="s">
        <v>227</v>
      </c>
      <c r="E109" s="40"/>
    </row>
    <row r="110" spans="1:5" ht="15.5" x14ac:dyDescent="0.35">
      <c r="A110" s="37" t="s">
        <v>208</v>
      </c>
      <c r="B110" s="38" t="s">
        <v>48</v>
      </c>
      <c r="C110" s="39" t="s">
        <v>175</v>
      </c>
      <c r="D110" s="40" t="s">
        <v>227</v>
      </c>
      <c r="E110" s="40"/>
    </row>
    <row r="111" spans="1:5" ht="15.5" x14ac:dyDescent="0.35">
      <c r="A111" s="37" t="s">
        <v>208</v>
      </c>
      <c r="B111" s="38" t="s">
        <v>48</v>
      </c>
      <c r="C111" s="39" t="s">
        <v>175</v>
      </c>
      <c r="D111" s="40" t="s">
        <v>227</v>
      </c>
      <c r="E111" s="40"/>
    </row>
    <row r="112" spans="1:5" ht="15.5" x14ac:dyDescent="0.35">
      <c r="A112" s="37" t="s">
        <v>208</v>
      </c>
      <c r="B112" s="38" t="s">
        <v>48</v>
      </c>
      <c r="C112" s="39" t="s">
        <v>175</v>
      </c>
      <c r="D112" s="40" t="s">
        <v>227</v>
      </c>
      <c r="E112" s="40"/>
    </row>
    <row r="113" spans="1:5" ht="15.5" x14ac:dyDescent="0.35">
      <c r="A113" s="37" t="s">
        <v>208</v>
      </c>
      <c r="B113" s="38" t="s">
        <v>48</v>
      </c>
      <c r="C113" s="39" t="s">
        <v>175</v>
      </c>
      <c r="D113" s="40" t="s">
        <v>227</v>
      </c>
      <c r="E113" s="40"/>
    </row>
    <row r="114" spans="1:5" ht="15.5" x14ac:dyDescent="0.35">
      <c r="A114" s="37" t="s">
        <v>208</v>
      </c>
      <c r="B114" s="38" t="s">
        <v>49</v>
      </c>
      <c r="C114" s="39" t="s">
        <v>295</v>
      </c>
      <c r="D114" s="40" t="s">
        <v>271</v>
      </c>
      <c r="E114" s="40"/>
    </row>
    <row r="115" spans="1:5" ht="15.5" x14ac:dyDescent="0.35">
      <c r="A115" s="37" t="s">
        <v>208</v>
      </c>
      <c r="B115" s="38" t="s">
        <v>50</v>
      </c>
      <c r="C115" s="39" t="s">
        <v>296</v>
      </c>
      <c r="D115" s="40" t="s">
        <v>271</v>
      </c>
      <c r="E115" s="40"/>
    </row>
    <row r="116" spans="1:5" ht="15.5" x14ac:dyDescent="0.35">
      <c r="A116" s="37" t="s">
        <v>208</v>
      </c>
      <c r="B116" s="38" t="s">
        <v>51</v>
      </c>
      <c r="C116" s="39" t="s">
        <v>297</v>
      </c>
      <c r="D116" s="40" t="s">
        <v>271</v>
      </c>
      <c r="E116" s="40"/>
    </row>
    <row r="117" spans="1:5" ht="15.5" x14ac:dyDescent="0.35">
      <c r="A117" s="37" t="s">
        <v>208</v>
      </c>
      <c r="B117" s="38" t="s">
        <v>52</v>
      </c>
      <c r="C117" s="39" t="s">
        <v>298</v>
      </c>
      <c r="D117" s="40" t="s">
        <v>271</v>
      </c>
      <c r="E117" s="40"/>
    </row>
    <row r="118" spans="1:5" ht="15.5" x14ac:dyDescent="0.35">
      <c r="A118" s="37" t="s">
        <v>208</v>
      </c>
      <c r="B118" s="38" t="s">
        <v>53</v>
      </c>
      <c r="C118" s="39" t="s">
        <v>299</v>
      </c>
      <c r="D118" s="40" t="s">
        <v>271</v>
      </c>
      <c r="E118" s="40"/>
    </row>
    <row r="119" spans="1:5" ht="15.5" x14ac:dyDescent="0.35">
      <c r="A119" s="37" t="s">
        <v>208</v>
      </c>
      <c r="B119" s="38" t="s">
        <v>54</v>
      </c>
      <c r="C119" s="39" t="s">
        <v>300</v>
      </c>
      <c r="D119" s="40" t="s">
        <v>271</v>
      </c>
      <c r="E119" s="40"/>
    </row>
    <row r="120" spans="1:5" ht="15.5" x14ac:dyDescent="0.35">
      <c r="A120" s="37" t="s">
        <v>208</v>
      </c>
      <c r="B120" s="38" t="s">
        <v>55</v>
      </c>
      <c r="C120" s="39" t="s">
        <v>301</v>
      </c>
      <c r="D120" s="40" t="s">
        <v>271</v>
      </c>
      <c r="E120" s="40"/>
    </row>
    <row r="121" spans="1:5" ht="15.5" x14ac:dyDescent="0.35">
      <c r="A121" s="37" t="s">
        <v>208</v>
      </c>
      <c r="B121" s="38" t="s">
        <v>56</v>
      </c>
      <c r="C121" s="39" t="s">
        <v>176</v>
      </c>
      <c r="D121" s="40" t="s">
        <v>271</v>
      </c>
      <c r="E121" s="40"/>
    </row>
    <row r="122" spans="1:5" ht="15.5" x14ac:dyDescent="0.35">
      <c r="A122" s="37" t="s">
        <v>208</v>
      </c>
      <c r="B122" s="38" t="s">
        <v>57</v>
      </c>
      <c r="C122" s="39" t="s">
        <v>177</v>
      </c>
      <c r="D122" s="40" t="s">
        <v>271</v>
      </c>
      <c r="E122" s="40"/>
    </row>
    <row r="123" spans="1:5" ht="15.5" x14ac:dyDescent="0.35">
      <c r="A123" s="37" t="s">
        <v>208</v>
      </c>
      <c r="B123" s="38" t="s">
        <v>58</v>
      </c>
      <c r="C123" s="39" t="s">
        <v>178</v>
      </c>
      <c r="D123" s="40" t="s">
        <v>271</v>
      </c>
      <c r="E123" s="40"/>
    </row>
    <row r="124" spans="1:5" ht="15.5" x14ac:dyDescent="0.35">
      <c r="A124" s="37" t="s">
        <v>208</v>
      </c>
      <c r="B124" s="38" t="s">
        <v>302</v>
      </c>
      <c r="C124" s="39" t="s">
        <v>303</v>
      </c>
      <c r="D124" s="40" t="s">
        <v>2</v>
      </c>
      <c r="E124" s="40"/>
    </row>
    <row r="125" spans="1:5" ht="15.5" x14ac:dyDescent="0.35">
      <c r="A125" s="37" t="s">
        <v>208</v>
      </c>
      <c r="B125" s="38" t="s">
        <v>304</v>
      </c>
      <c r="C125" s="39" t="s">
        <v>303</v>
      </c>
      <c r="D125" s="40" t="s">
        <v>2</v>
      </c>
      <c r="E125" s="40"/>
    </row>
    <row r="126" spans="1:5" ht="15.5" x14ac:dyDescent="0.35">
      <c r="A126" s="37" t="s">
        <v>208</v>
      </c>
      <c r="B126" s="38" t="s">
        <v>59</v>
      </c>
      <c r="C126" s="39" t="s">
        <v>179</v>
      </c>
      <c r="D126" s="40" t="s">
        <v>227</v>
      </c>
      <c r="E126" s="40"/>
    </row>
    <row r="127" spans="1:5" ht="15.5" x14ac:dyDescent="0.35">
      <c r="A127" s="37" t="s">
        <v>208</v>
      </c>
      <c r="B127" s="38" t="s">
        <v>60</v>
      </c>
      <c r="C127" s="39" t="s">
        <v>180</v>
      </c>
      <c r="D127" s="40" t="s">
        <v>227</v>
      </c>
      <c r="E127" s="40"/>
    </row>
    <row r="128" spans="1:5" ht="15.5" x14ac:dyDescent="0.35">
      <c r="A128" s="37" t="s">
        <v>208</v>
      </c>
      <c r="B128" s="38" t="s">
        <v>61</v>
      </c>
      <c r="C128" s="39" t="s">
        <v>181</v>
      </c>
      <c r="D128" s="40" t="s">
        <v>227</v>
      </c>
      <c r="E128" s="40"/>
    </row>
    <row r="129" spans="1:5" ht="15.5" x14ac:dyDescent="0.35">
      <c r="A129" s="37" t="s">
        <v>208</v>
      </c>
      <c r="B129" s="38" t="s">
        <v>62</v>
      </c>
      <c r="C129" s="39" t="s">
        <v>182</v>
      </c>
      <c r="D129" s="40" t="s">
        <v>211</v>
      </c>
      <c r="E129" s="40"/>
    </row>
    <row r="130" spans="1:5" ht="15.5" x14ac:dyDescent="0.35">
      <c r="A130" s="37" t="s">
        <v>208</v>
      </c>
      <c r="B130" s="38" t="s">
        <v>63</v>
      </c>
      <c r="C130" s="39" t="s">
        <v>183</v>
      </c>
      <c r="D130" s="40" t="s">
        <v>227</v>
      </c>
      <c r="E130" s="40"/>
    </row>
    <row r="131" spans="1:5" ht="15.5" x14ac:dyDescent="0.35">
      <c r="A131" s="37" t="s">
        <v>208</v>
      </c>
      <c r="B131" s="38" t="s">
        <v>64</v>
      </c>
      <c r="C131" s="39" t="s">
        <v>184</v>
      </c>
      <c r="D131" s="40" t="s">
        <v>227</v>
      </c>
      <c r="E131" s="40"/>
    </row>
    <row r="132" spans="1:5" ht="15.5" x14ac:dyDescent="0.35">
      <c r="A132" s="37" t="s">
        <v>208</v>
      </c>
      <c r="B132" s="38" t="s">
        <v>65</v>
      </c>
      <c r="C132" s="39" t="s">
        <v>185</v>
      </c>
      <c r="D132" s="40" t="s">
        <v>227</v>
      </c>
      <c r="E132" s="40"/>
    </row>
    <row r="133" spans="1:5" ht="15.5" x14ac:dyDescent="0.35">
      <c r="A133" s="37" t="s">
        <v>208</v>
      </c>
      <c r="B133" s="38" t="s">
        <v>66</v>
      </c>
      <c r="C133" s="39" t="s">
        <v>186</v>
      </c>
      <c r="D133" s="40" t="s">
        <v>227</v>
      </c>
      <c r="E133" s="40"/>
    </row>
    <row r="134" spans="1:5" ht="15.5" x14ac:dyDescent="0.35">
      <c r="A134" s="37" t="s">
        <v>208</v>
      </c>
      <c r="B134" s="38" t="s">
        <v>67</v>
      </c>
      <c r="C134" s="39" t="s">
        <v>187</v>
      </c>
      <c r="D134" s="40" t="s">
        <v>227</v>
      </c>
      <c r="E134" s="40"/>
    </row>
    <row r="135" spans="1:5" ht="15.5" x14ac:dyDescent="0.35">
      <c r="A135" s="37" t="s">
        <v>208</v>
      </c>
      <c r="B135" s="38" t="s">
        <v>68</v>
      </c>
      <c r="C135" s="39" t="s">
        <v>187</v>
      </c>
      <c r="D135" s="40" t="s">
        <v>227</v>
      </c>
      <c r="E135" s="40"/>
    </row>
    <row r="136" spans="1:5" ht="15.5" x14ac:dyDescent="0.35">
      <c r="A136" s="37" t="s">
        <v>208</v>
      </c>
      <c r="B136" s="38" t="s">
        <v>69</v>
      </c>
      <c r="C136" s="39" t="s">
        <v>187</v>
      </c>
      <c r="D136" s="40" t="s">
        <v>227</v>
      </c>
      <c r="E136" s="40"/>
    </row>
    <row r="137" spans="1:5" ht="15.5" x14ac:dyDescent="0.35">
      <c r="A137" s="37" t="s">
        <v>208</v>
      </c>
      <c r="B137" s="38" t="s">
        <v>70</v>
      </c>
      <c r="C137" s="39" t="s">
        <v>187</v>
      </c>
      <c r="D137" s="40" t="s">
        <v>227</v>
      </c>
      <c r="E137" s="40"/>
    </row>
    <row r="138" spans="1:5" ht="15.5" x14ac:dyDescent="0.35">
      <c r="A138" s="37" t="s">
        <v>208</v>
      </c>
      <c r="B138" s="38" t="s">
        <v>71</v>
      </c>
      <c r="C138" s="39" t="s">
        <v>187</v>
      </c>
      <c r="D138" s="40" t="s">
        <v>227</v>
      </c>
      <c r="E138" s="40"/>
    </row>
    <row r="139" spans="1:5" ht="15.5" x14ac:dyDescent="0.35">
      <c r="A139" s="37" t="s">
        <v>208</v>
      </c>
      <c r="B139" s="38" t="s">
        <v>72</v>
      </c>
      <c r="C139" s="39" t="s">
        <v>188</v>
      </c>
      <c r="D139" s="40" t="s">
        <v>227</v>
      </c>
      <c r="E139" s="40"/>
    </row>
    <row r="140" spans="1:5" ht="15.5" x14ac:dyDescent="0.35">
      <c r="A140" s="37" t="s">
        <v>208</v>
      </c>
      <c r="B140" s="38" t="s">
        <v>73</v>
      </c>
      <c r="C140" s="39" t="s">
        <v>188</v>
      </c>
      <c r="D140" s="40" t="s">
        <v>227</v>
      </c>
      <c r="E140" s="40"/>
    </row>
    <row r="141" spans="1:5" ht="15.5" x14ac:dyDescent="0.35">
      <c r="A141" s="37" t="s">
        <v>208</v>
      </c>
      <c r="B141" s="38" t="s">
        <v>74</v>
      </c>
      <c r="C141" s="39" t="s">
        <v>188</v>
      </c>
      <c r="D141" s="40" t="s">
        <v>227</v>
      </c>
      <c r="E141" s="40"/>
    </row>
    <row r="142" spans="1:5" ht="15.5" x14ac:dyDescent="0.35">
      <c r="A142" s="37" t="s">
        <v>208</v>
      </c>
      <c r="B142" s="38" t="s">
        <v>75</v>
      </c>
      <c r="C142" s="39" t="s">
        <v>188</v>
      </c>
      <c r="D142" s="40" t="s">
        <v>227</v>
      </c>
      <c r="E142" s="40"/>
    </row>
    <row r="143" spans="1:5" ht="15.5" x14ac:dyDescent="0.35">
      <c r="A143" s="37" t="s">
        <v>208</v>
      </c>
      <c r="B143" s="38" t="s">
        <v>76</v>
      </c>
      <c r="C143" s="39" t="s">
        <v>188</v>
      </c>
      <c r="D143" s="40" t="s">
        <v>227</v>
      </c>
      <c r="E143" s="40"/>
    </row>
    <row r="144" spans="1:5" ht="15.5" x14ac:dyDescent="0.35">
      <c r="A144" s="37" t="s">
        <v>208</v>
      </c>
      <c r="B144" s="38" t="s">
        <v>77</v>
      </c>
      <c r="C144" s="39" t="s">
        <v>188</v>
      </c>
      <c r="D144" s="40" t="s">
        <v>227</v>
      </c>
      <c r="E144" s="40"/>
    </row>
    <row r="145" spans="1:5" ht="15.5" x14ac:dyDescent="0.35">
      <c r="A145" s="37" t="s">
        <v>208</v>
      </c>
      <c r="B145" s="38" t="s">
        <v>78</v>
      </c>
      <c r="C145" s="39" t="s">
        <v>189</v>
      </c>
      <c r="D145" s="40" t="s">
        <v>227</v>
      </c>
      <c r="E145" s="40"/>
    </row>
    <row r="146" spans="1:5" ht="15.5" x14ac:dyDescent="0.35">
      <c r="A146" s="37" t="s">
        <v>208</v>
      </c>
      <c r="B146" s="38" t="s">
        <v>79</v>
      </c>
      <c r="C146" s="39" t="s">
        <v>189</v>
      </c>
      <c r="D146" s="40" t="s">
        <v>227</v>
      </c>
      <c r="E146" s="40"/>
    </row>
    <row r="147" spans="1:5" ht="15.5" x14ac:dyDescent="0.35">
      <c r="A147" s="37" t="s">
        <v>208</v>
      </c>
      <c r="B147" s="38" t="s">
        <v>80</v>
      </c>
      <c r="C147" s="39" t="s">
        <v>189</v>
      </c>
      <c r="D147" s="40" t="s">
        <v>227</v>
      </c>
      <c r="E147" s="40"/>
    </row>
    <row r="148" spans="1:5" ht="15.5" x14ac:dyDescent="0.35">
      <c r="A148" s="37" t="s">
        <v>208</v>
      </c>
      <c r="B148" s="38" t="s">
        <v>81</v>
      </c>
      <c r="C148" s="39" t="s">
        <v>189</v>
      </c>
      <c r="D148" s="40" t="s">
        <v>227</v>
      </c>
      <c r="E148" s="40"/>
    </row>
    <row r="149" spans="1:5" ht="15.5" x14ac:dyDescent="0.35">
      <c r="A149" s="37" t="s">
        <v>208</v>
      </c>
      <c r="B149" s="38" t="s">
        <v>82</v>
      </c>
      <c r="C149" s="39" t="s">
        <v>189</v>
      </c>
      <c r="D149" s="40" t="s">
        <v>227</v>
      </c>
      <c r="E149" s="40"/>
    </row>
    <row r="150" spans="1:5" ht="15.5" x14ac:dyDescent="0.35">
      <c r="A150" s="37" t="s">
        <v>208</v>
      </c>
      <c r="B150" s="38" t="s">
        <v>83</v>
      </c>
      <c r="C150" s="39" t="s">
        <v>189</v>
      </c>
      <c r="D150" s="40" t="s">
        <v>227</v>
      </c>
      <c r="E150" s="40"/>
    </row>
    <row r="151" spans="1:5" ht="15.5" x14ac:dyDescent="0.35">
      <c r="A151" s="37" t="s">
        <v>208</v>
      </c>
      <c r="B151" s="38" t="s">
        <v>84</v>
      </c>
      <c r="C151" s="39" t="s">
        <v>190</v>
      </c>
      <c r="D151" s="40" t="s">
        <v>227</v>
      </c>
      <c r="E151" s="40"/>
    </row>
    <row r="152" spans="1:5" ht="15.5" x14ac:dyDescent="0.35">
      <c r="A152" s="37" t="s">
        <v>208</v>
      </c>
      <c r="B152" s="38" t="s">
        <v>85</v>
      </c>
      <c r="C152" s="39" t="s">
        <v>190</v>
      </c>
      <c r="D152" s="40" t="s">
        <v>227</v>
      </c>
      <c r="E152" s="40"/>
    </row>
    <row r="153" spans="1:5" ht="15.5" x14ac:dyDescent="0.35">
      <c r="A153" s="37" t="s">
        <v>208</v>
      </c>
      <c r="B153" s="38" t="s">
        <v>86</v>
      </c>
      <c r="C153" s="39" t="s">
        <v>190</v>
      </c>
      <c r="D153" s="40" t="s">
        <v>227</v>
      </c>
      <c r="E153" s="40"/>
    </row>
    <row r="154" spans="1:5" ht="15.5" x14ac:dyDescent="0.35">
      <c r="A154" s="37" t="s">
        <v>208</v>
      </c>
      <c r="B154" s="38" t="s">
        <v>87</v>
      </c>
      <c r="C154" s="39" t="s">
        <v>190</v>
      </c>
      <c r="D154" s="40" t="s">
        <v>227</v>
      </c>
      <c r="E154" s="40"/>
    </row>
    <row r="155" spans="1:5" ht="15.5" x14ac:dyDescent="0.35">
      <c r="A155" s="37" t="s">
        <v>208</v>
      </c>
      <c r="B155" s="38" t="s">
        <v>88</v>
      </c>
      <c r="C155" s="39" t="s">
        <v>190</v>
      </c>
      <c r="D155" s="40" t="s">
        <v>227</v>
      </c>
      <c r="E155" s="40"/>
    </row>
    <row r="156" spans="1:5" ht="15.5" x14ac:dyDescent="0.35">
      <c r="A156" s="37" t="s">
        <v>208</v>
      </c>
      <c r="B156" s="38" t="s">
        <v>89</v>
      </c>
      <c r="C156" s="39" t="s">
        <v>190</v>
      </c>
      <c r="D156" s="40" t="s">
        <v>227</v>
      </c>
      <c r="E156" s="40"/>
    </row>
    <row r="157" spans="1:5" ht="15.5" x14ac:dyDescent="0.35">
      <c r="A157" s="37" t="s">
        <v>208</v>
      </c>
      <c r="B157" s="38" t="s">
        <v>90</v>
      </c>
      <c r="C157" s="39" t="s">
        <v>191</v>
      </c>
      <c r="D157" s="40" t="s">
        <v>227</v>
      </c>
      <c r="E157" s="40"/>
    </row>
    <row r="158" spans="1:5" ht="15.5" x14ac:dyDescent="0.35">
      <c r="A158" s="37" t="s">
        <v>208</v>
      </c>
      <c r="B158" s="38" t="s">
        <v>91</v>
      </c>
      <c r="C158" s="39" t="s">
        <v>191</v>
      </c>
      <c r="D158" s="40" t="s">
        <v>227</v>
      </c>
      <c r="E158" s="40"/>
    </row>
    <row r="159" spans="1:5" ht="15.5" x14ac:dyDescent="0.35">
      <c r="A159" s="37" t="s">
        <v>208</v>
      </c>
      <c r="B159" s="38" t="s">
        <v>92</v>
      </c>
      <c r="C159" s="39" t="s">
        <v>191</v>
      </c>
      <c r="D159" s="40" t="s">
        <v>227</v>
      </c>
      <c r="E159" s="40"/>
    </row>
    <row r="160" spans="1:5" ht="15.5" x14ac:dyDescent="0.35">
      <c r="A160" s="37" t="s">
        <v>208</v>
      </c>
      <c r="B160" s="38" t="s">
        <v>93</v>
      </c>
      <c r="C160" s="39" t="s">
        <v>191</v>
      </c>
      <c r="D160" s="40" t="s">
        <v>227</v>
      </c>
      <c r="E160" s="40"/>
    </row>
    <row r="161" spans="1:5" ht="15.5" x14ac:dyDescent="0.35">
      <c r="A161" s="37" t="s">
        <v>208</v>
      </c>
      <c r="B161" s="38" t="s">
        <v>94</v>
      </c>
      <c r="C161" s="39" t="s">
        <v>191</v>
      </c>
      <c r="D161" s="40" t="s">
        <v>227</v>
      </c>
      <c r="E161" s="40"/>
    </row>
    <row r="162" spans="1:5" ht="15.5" x14ac:dyDescent="0.35">
      <c r="A162" s="37" t="s">
        <v>208</v>
      </c>
      <c r="B162" s="38" t="s">
        <v>95</v>
      </c>
      <c r="C162" s="39" t="s">
        <v>191</v>
      </c>
      <c r="D162" s="40" t="s">
        <v>227</v>
      </c>
      <c r="E162" s="40"/>
    </row>
    <row r="163" spans="1:5" ht="15.5" x14ac:dyDescent="0.35">
      <c r="A163" s="37" t="s">
        <v>208</v>
      </c>
      <c r="B163" s="38" t="s">
        <v>96</v>
      </c>
      <c r="C163" s="39" t="s">
        <v>191</v>
      </c>
      <c r="D163" s="40" t="s">
        <v>227</v>
      </c>
      <c r="E163" s="40"/>
    </row>
    <row r="164" spans="1:5" ht="15.5" x14ac:dyDescent="0.35">
      <c r="A164" s="37" t="s">
        <v>208</v>
      </c>
      <c r="B164" s="38" t="s">
        <v>97</v>
      </c>
      <c r="C164" s="39" t="s">
        <v>192</v>
      </c>
      <c r="D164" s="40" t="s">
        <v>227</v>
      </c>
      <c r="E164" s="40"/>
    </row>
    <row r="165" spans="1:5" ht="15.5" x14ac:dyDescent="0.35">
      <c r="A165" s="37" t="s">
        <v>208</v>
      </c>
      <c r="B165" s="38" t="s">
        <v>98</v>
      </c>
      <c r="C165" s="39" t="s">
        <v>192</v>
      </c>
      <c r="D165" s="40" t="s">
        <v>227</v>
      </c>
      <c r="E165" s="40"/>
    </row>
    <row r="166" spans="1:5" ht="15.5" x14ac:dyDescent="0.35">
      <c r="A166" s="37" t="s">
        <v>208</v>
      </c>
      <c r="B166" s="38" t="s">
        <v>99</v>
      </c>
      <c r="C166" s="39" t="s">
        <v>192</v>
      </c>
      <c r="D166" s="40" t="s">
        <v>227</v>
      </c>
      <c r="E166" s="40"/>
    </row>
    <row r="167" spans="1:5" ht="15.5" x14ac:dyDescent="0.35">
      <c r="A167" s="37" t="s">
        <v>208</v>
      </c>
      <c r="B167" s="38" t="s">
        <v>100</v>
      </c>
      <c r="C167" s="39" t="s">
        <v>192</v>
      </c>
      <c r="D167" s="40" t="s">
        <v>227</v>
      </c>
      <c r="E167" s="40"/>
    </row>
    <row r="168" spans="1:5" ht="15.5" x14ac:dyDescent="0.35">
      <c r="A168" s="37" t="s">
        <v>208</v>
      </c>
      <c r="B168" s="38" t="s">
        <v>101</v>
      </c>
      <c r="C168" s="39" t="s">
        <v>192</v>
      </c>
      <c r="D168" s="40" t="s">
        <v>227</v>
      </c>
      <c r="E168" s="40"/>
    </row>
    <row r="169" spans="1:5" ht="15.5" x14ac:dyDescent="0.35">
      <c r="A169" s="37" t="s">
        <v>208</v>
      </c>
      <c r="B169" s="38" t="s">
        <v>102</v>
      </c>
      <c r="C169" s="39" t="s">
        <v>192</v>
      </c>
      <c r="D169" s="40" t="s">
        <v>227</v>
      </c>
      <c r="E169" s="40"/>
    </row>
    <row r="170" spans="1:5" ht="15.5" x14ac:dyDescent="0.35">
      <c r="A170" s="37" t="s">
        <v>208</v>
      </c>
      <c r="B170" s="38" t="s">
        <v>103</v>
      </c>
      <c r="C170" s="39" t="s">
        <v>192</v>
      </c>
      <c r="D170" s="40" t="s">
        <v>227</v>
      </c>
      <c r="E170" s="40"/>
    </row>
    <row r="171" spans="1:5" ht="15.5" x14ac:dyDescent="0.35">
      <c r="A171" s="37" t="s">
        <v>208</v>
      </c>
      <c r="B171" s="38" t="s">
        <v>104</v>
      </c>
      <c r="C171" s="39" t="s">
        <v>192</v>
      </c>
      <c r="D171" s="40" t="s">
        <v>227</v>
      </c>
      <c r="E171" s="40"/>
    </row>
    <row r="172" spans="1:5" ht="15.5" x14ac:dyDescent="0.35">
      <c r="A172" s="37" t="s">
        <v>208</v>
      </c>
      <c r="B172" s="38" t="s">
        <v>305</v>
      </c>
      <c r="C172" s="39" t="s">
        <v>193</v>
      </c>
      <c r="D172" s="40" t="s">
        <v>227</v>
      </c>
      <c r="E172" s="40"/>
    </row>
    <row r="173" spans="1:5" ht="15.5" x14ac:dyDescent="0.35">
      <c r="A173" s="37" t="s">
        <v>208</v>
      </c>
      <c r="B173" s="38" t="s">
        <v>306</v>
      </c>
      <c r="C173" s="39" t="s">
        <v>193</v>
      </c>
      <c r="D173" s="40" t="s">
        <v>227</v>
      </c>
      <c r="E173" s="40"/>
    </row>
    <row r="174" spans="1:5" ht="15.5" x14ac:dyDescent="0.35">
      <c r="A174" s="37" t="s">
        <v>208</v>
      </c>
      <c r="B174" s="38" t="s">
        <v>307</v>
      </c>
      <c r="C174" s="39" t="s">
        <v>193</v>
      </c>
      <c r="D174" s="40" t="s">
        <v>227</v>
      </c>
      <c r="E174" s="40"/>
    </row>
    <row r="175" spans="1:5" ht="15.5" x14ac:dyDescent="0.35">
      <c r="A175" s="37" t="s">
        <v>208</v>
      </c>
      <c r="B175" s="38" t="s">
        <v>105</v>
      </c>
      <c r="C175" s="39" t="s">
        <v>193</v>
      </c>
      <c r="D175" s="40" t="s">
        <v>227</v>
      </c>
      <c r="E175" s="40"/>
    </row>
    <row r="176" spans="1:5" ht="15.5" x14ac:dyDescent="0.35">
      <c r="A176" s="37" t="s">
        <v>208</v>
      </c>
      <c r="B176" s="38" t="s">
        <v>106</v>
      </c>
      <c r="C176" s="39" t="s">
        <v>194</v>
      </c>
      <c r="D176" s="40" t="s">
        <v>227</v>
      </c>
      <c r="E176" s="40"/>
    </row>
    <row r="177" spans="1:5" ht="15.5" x14ac:dyDescent="0.35">
      <c r="A177" s="37" t="s">
        <v>208</v>
      </c>
      <c r="B177" s="38" t="s">
        <v>107</v>
      </c>
      <c r="C177" s="39" t="s">
        <v>194</v>
      </c>
      <c r="D177" s="40" t="s">
        <v>227</v>
      </c>
      <c r="E177" s="40"/>
    </row>
    <row r="178" spans="1:5" ht="15.5" x14ac:dyDescent="0.35">
      <c r="A178" s="37" t="s">
        <v>208</v>
      </c>
      <c r="B178" s="38" t="s">
        <v>108</v>
      </c>
      <c r="C178" s="39" t="s">
        <v>194</v>
      </c>
      <c r="D178" s="40" t="s">
        <v>227</v>
      </c>
      <c r="E178" s="40"/>
    </row>
    <row r="179" spans="1:5" ht="15.5" x14ac:dyDescent="0.35">
      <c r="A179" s="37" t="s">
        <v>208</v>
      </c>
      <c r="B179" s="38" t="s">
        <v>109</v>
      </c>
      <c r="C179" s="39" t="s">
        <v>194</v>
      </c>
      <c r="D179" s="40" t="s">
        <v>227</v>
      </c>
      <c r="E179" s="40"/>
    </row>
    <row r="180" spans="1:5" ht="15.5" x14ac:dyDescent="0.35">
      <c r="A180" s="37" t="s">
        <v>208</v>
      </c>
      <c r="B180" s="38" t="s">
        <v>110</v>
      </c>
      <c r="C180" s="39" t="s">
        <v>194</v>
      </c>
      <c r="D180" s="40" t="s">
        <v>227</v>
      </c>
      <c r="E180" s="40"/>
    </row>
    <row r="181" spans="1:5" ht="15.5" x14ac:dyDescent="0.35">
      <c r="A181" s="37" t="s">
        <v>208</v>
      </c>
      <c r="B181" s="38" t="s">
        <v>111</v>
      </c>
      <c r="C181" s="39" t="s">
        <v>195</v>
      </c>
      <c r="D181" s="40" t="s">
        <v>227</v>
      </c>
      <c r="E181" s="40"/>
    </row>
    <row r="182" spans="1:5" ht="15.5" x14ac:dyDescent="0.35">
      <c r="A182" s="37" t="s">
        <v>208</v>
      </c>
      <c r="B182" s="38" t="s">
        <v>112</v>
      </c>
      <c r="C182" s="39" t="s">
        <v>195</v>
      </c>
      <c r="D182" s="40" t="s">
        <v>227</v>
      </c>
      <c r="E182" s="40"/>
    </row>
    <row r="183" spans="1:5" ht="15.5" x14ac:dyDescent="0.35">
      <c r="A183" s="37" t="s">
        <v>208</v>
      </c>
      <c r="B183" s="38" t="s">
        <v>113</v>
      </c>
      <c r="C183" s="39" t="s">
        <v>195</v>
      </c>
      <c r="D183" s="40" t="s">
        <v>227</v>
      </c>
      <c r="E183" s="40"/>
    </row>
    <row r="184" spans="1:5" ht="15.5" x14ac:dyDescent="0.35">
      <c r="A184" s="37" t="s">
        <v>208</v>
      </c>
      <c r="B184" s="38" t="s">
        <v>114</v>
      </c>
      <c r="C184" s="39" t="s">
        <v>195</v>
      </c>
      <c r="D184" s="40" t="s">
        <v>227</v>
      </c>
      <c r="E184" s="40"/>
    </row>
    <row r="185" spans="1:5" ht="15.5" x14ac:dyDescent="0.35">
      <c r="A185" s="37" t="s">
        <v>208</v>
      </c>
      <c r="B185" s="38" t="s">
        <v>115</v>
      </c>
      <c r="C185" s="39" t="s">
        <v>195</v>
      </c>
      <c r="D185" s="40" t="s">
        <v>227</v>
      </c>
      <c r="E185" s="40"/>
    </row>
    <row r="186" spans="1:5" ht="15.5" x14ac:dyDescent="0.35">
      <c r="A186" s="37" t="s">
        <v>208</v>
      </c>
      <c r="B186" s="38" t="s">
        <v>116</v>
      </c>
      <c r="C186" s="39" t="s">
        <v>195</v>
      </c>
      <c r="D186" s="40" t="s">
        <v>227</v>
      </c>
      <c r="E186" s="40"/>
    </row>
    <row r="187" spans="1:5" ht="15.5" x14ac:dyDescent="0.35">
      <c r="A187" s="37" t="s">
        <v>208</v>
      </c>
      <c r="B187" s="38" t="s">
        <v>117</v>
      </c>
      <c r="C187" s="39" t="s">
        <v>196</v>
      </c>
      <c r="D187" s="40" t="s">
        <v>227</v>
      </c>
      <c r="E187" s="40"/>
    </row>
    <row r="188" spans="1:5" ht="15.5" x14ac:dyDescent="0.35">
      <c r="A188" s="37" t="s">
        <v>208</v>
      </c>
      <c r="B188" s="38" t="s">
        <v>118</v>
      </c>
      <c r="C188" s="39" t="s">
        <v>196</v>
      </c>
      <c r="D188" s="40" t="s">
        <v>227</v>
      </c>
      <c r="E188" s="40"/>
    </row>
    <row r="189" spans="1:5" ht="15.5" x14ac:dyDescent="0.35">
      <c r="A189" s="37" t="s">
        <v>208</v>
      </c>
      <c r="B189" s="38" t="s">
        <v>119</v>
      </c>
      <c r="C189" s="39" t="s">
        <v>196</v>
      </c>
      <c r="D189" s="40" t="s">
        <v>227</v>
      </c>
      <c r="E189" s="40"/>
    </row>
    <row r="190" spans="1:5" ht="15.5" x14ac:dyDescent="0.35">
      <c r="A190" s="37" t="s">
        <v>208</v>
      </c>
      <c r="B190" s="38" t="s">
        <v>120</v>
      </c>
      <c r="C190" s="39" t="s">
        <v>196</v>
      </c>
      <c r="D190" s="40" t="s">
        <v>227</v>
      </c>
      <c r="E190" s="40"/>
    </row>
    <row r="191" spans="1:5" ht="15.5" x14ac:dyDescent="0.35">
      <c r="A191" s="37" t="s">
        <v>208</v>
      </c>
      <c r="B191" s="38" t="s">
        <v>121</v>
      </c>
      <c r="C191" s="39" t="s">
        <v>196</v>
      </c>
      <c r="D191" s="40" t="s">
        <v>227</v>
      </c>
      <c r="E191" s="40"/>
    </row>
    <row r="192" spans="1:5" ht="15.5" x14ac:dyDescent="0.35">
      <c r="A192" s="37" t="s">
        <v>208</v>
      </c>
      <c r="B192" s="38" t="s">
        <v>122</v>
      </c>
      <c r="C192" s="39" t="s">
        <v>196</v>
      </c>
      <c r="D192" s="40" t="s">
        <v>227</v>
      </c>
      <c r="E192" s="40"/>
    </row>
    <row r="193" spans="1:5" ht="15.5" x14ac:dyDescent="0.35">
      <c r="A193" s="37" t="s">
        <v>208</v>
      </c>
      <c r="B193" s="38" t="s">
        <v>123</v>
      </c>
      <c r="C193" s="39" t="s">
        <v>197</v>
      </c>
      <c r="D193" s="40" t="s">
        <v>227</v>
      </c>
      <c r="E193" s="40"/>
    </row>
    <row r="194" spans="1:5" ht="15.5" x14ac:dyDescent="0.35">
      <c r="A194" s="37" t="s">
        <v>208</v>
      </c>
      <c r="B194" s="38" t="s">
        <v>124</v>
      </c>
      <c r="C194" s="39" t="s">
        <v>197</v>
      </c>
      <c r="D194" s="40" t="s">
        <v>227</v>
      </c>
      <c r="E194" s="40"/>
    </row>
    <row r="195" spans="1:5" ht="15.5" x14ac:dyDescent="0.35">
      <c r="A195" s="37" t="s">
        <v>208</v>
      </c>
      <c r="B195" s="38" t="s">
        <v>125</v>
      </c>
      <c r="C195" s="39" t="s">
        <v>197</v>
      </c>
      <c r="D195" s="40" t="s">
        <v>227</v>
      </c>
      <c r="E195" s="40"/>
    </row>
    <row r="196" spans="1:5" ht="15.5" x14ac:dyDescent="0.35">
      <c r="A196" s="37" t="s">
        <v>208</v>
      </c>
      <c r="B196" s="38" t="s">
        <v>126</v>
      </c>
      <c r="C196" s="39" t="s">
        <v>197</v>
      </c>
      <c r="D196" s="40" t="s">
        <v>227</v>
      </c>
      <c r="E196" s="40"/>
    </row>
    <row r="197" spans="1:5" ht="15.5" x14ac:dyDescent="0.35">
      <c r="A197" s="37" t="s">
        <v>208</v>
      </c>
      <c r="B197" s="38" t="s">
        <v>127</v>
      </c>
      <c r="C197" s="39" t="s">
        <v>197</v>
      </c>
      <c r="D197" s="40" t="s">
        <v>227</v>
      </c>
      <c r="E197" s="40"/>
    </row>
    <row r="198" spans="1:5" ht="15.5" x14ac:dyDescent="0.35">
      <c r="A198" s="37" t="s">
        <v>208</v>
      </c>
      <c r="B198" s="38" t="s">
        <v>128</v>
      </c>
      <c r="C198" s="39" t="s">
        <v>197</v>
      </c>
      <c r="D198" s="40" t="s">
        <v>227</v>
      </c>
      <c r="E198" s="40"/>
    </row>
    <row r="199" spans="1:5" ht="15.5" x14ac:dyDescent="0.35">
      <c r="A199" s="37" t="s">
        <v>208</v>
      </c>
      <c r="B199" s="38" t="s">
        <v>308</v>
      </c>
      <c r="C199" s="39" t="s">
        <v>198</v>
      </c>
      <c r="D199" s="40" t="s">
        <v>227</v>
      </c>
      <c r="E199" s="40"/>
    </row>
    <row r="200" spans="1:5" ht="15.5" x14ac:dyDescent="0.35">
      <c r="A200" s="37" t="s">
        <v>208</v>
      </c>
      <c r="B200" s="38" t="s">
        <v>309</v>
      </c>
      <c r="C200" s="39" t="s">
        <v>198</v>
      </c>
      <c r="D200" s="40" t="s">
        <v>227</v>
      </c>
      <c r="E200" s="40"/>
    </row>
    <row r="201" spans="1:5" ht="15.5" x14ac:dyDescent="0.35">
      <c r="A201" s="37" t="s">
        <v>208</v>
      </c>
      <c r="B201" s="38" t="s">
        <v>310</v>
      </c>
      <c r="C201" s="39" t="s">
        <v>198</v>
      </c>
      <c r="D201" s="40" t="s">
        <v>227</v>
      </c>
      <c r="E201" s="40"/>
    </row>
    <row r="202" spans="1:5" ht="15.5" x14ac:dyDescent="0.35">
      <c r="A202" s="37" t="s">
        <v>208</v>
      </c>
      <c r="B202" s="38" t="s">
        <v>311</v>
      </c>
      <c r="C202" s="39" t="s">
        <v>198</v>
      </c>
      <c r="D202" s="40" t="s">
        <v>227</v>
      </c>
      <c r="E202" s="40"/>
    </row>
    <row r="203" spans="1:5" ht="15.5" x14ac:dyDescent="0.35">
      <c r="A203" s="37" t="s">
        <v>208</v>
      </c>
      <c r="B203" s="38" t="s">
        <v>312</v>
      </c>
      <c r="C203" s="39" t="s">
        <v>198</v>
      </c>
      <c r="D203" s="40" t="s">
        <v>227</v>
      </c>
      <c r="E203" s="40"/>
    </row>
    <row r="204" spans="1:5" ht="15.5" x14ac:dyDescent="0.35">
      <c r="A204" s="37" t="s">
        <v>208</v>
      </c>
      <c r="B204" s="38" t="s">
        <v>129</v>
      </c>
      <c r="C204" s="39" t="s">
        <v>198</v>
      </c>
      <c r="D204" s="40" t="s">
        <v>227</v>
      </c>
      <c r="E204" s="40"/>
    </row>
    <row r="205" spans="1:5" ht="15.5" x14ac:dyDescent="0.35">
      <c r="A205" s="37" t="s">
        <v>208</v>
      </c>
      <c r="B205" s="38" t="s">
        <v>130</v>
      </c>
      <c r="C205" s="39" t="s">
        <v>199</v>
      </c>
      <c r="D205" s="40" t="s">
        <v>227</v>
      </c>
      <c r="E205" s="40"/>
    </row>
    <row r="206" spans="1:5" ht="15.5" x14ac:dyDescent="0.35">
      <c r="A206" s="37" t="s">
        <v>208</v>
      </c>
      <c r="B206" s="38" t="s">
        <v>131</v>
      </c>
      <c r="C206" s="39" t="s">
        <v>199</v>
      </c>
      <c r="D206" s="40" t="s">
        <v>227</v>
      </c>
      <c r="E206" s="40"/>
    </row>
    <row r="207" spans="1:5" ht="15.5" x14ac:dyDescent="0.35">
      <c r="A207" s="37" t="s">
        <v>208</v>
      </c>
      <c r="B207" s="38" t="s">
        <v>132</v>
      </c>
      <c r="C207" s="39" t="s">
        <v>199</v>
      </c>
      <c r="D207" s="40" t="s">
        <v>227</v>
      </c>
      <c r="E207" s="40"/>
    </row>
    <row r="208" spans="1:5" ht="15.5" x14ac:dyDescent="0.35">
      <c r="A208" s="37" t="s">
        <v>208</v>
      </c>
      <c r="B208" s="38" t="s">
        <v>133</v>
      </c>
      <c r="C208" s="39" t="s">
        <v>199</v>
      </c>
      <c r="D208" s="40" t="s">
        <v>227</v>
      </c>
      <c r="E208" s="40"/>
    </row>
    <row r="209" spans="1:5" ht="15.5" x14ac:dyDescent="0.35">
      <c r="A209" s="37" t="s">
        <v>208</v>
      </c>
      <c r="B209" s="38" t="s">
        <v>134</v>
      </c>
      <c r="C209" s="39" t="s">
        <v>199</v>
      </c>
      <c r="D209" s="40" t="s">
        <v>227</v>
      </c>
      <c r="E209" s="40"/>
    </row>
    <row r="210" spans="1:5" ht="15.5" x14ac:dyDescent="0.35">
      <c r="A210" s="37" t="s">
        <v>208</v>
      </c>
      <c r="B210" s="38" t="s">
        <v>135</v>
      </c>
      <c r="C210" s="39" t="s">
        <v>199</v>
      </c>
      <c r="D210" s="40" t="s">
        <v>227</v>
      </c>
      <c r="E210" s="40"/>
    </row>
    <row r="211" spans="1:5" ht="15.5" x14ac:dyDescent="0.35">
      <c r="A211" s="37" t="s">
        <v>208</v>
      </c>
      <c r="B211" s="38" t="s">
        <v>136</v>
      </c>
      <c r="C211" s="39" t="s">
        <v>199</v>
      </c>
      <c r="D211" s="40" t="s">
        <v>227</v>
      </c>
      <c r="E211" s="40"/>
    </row>
    <row r="212" spans="1:5" ht="15.5" x14ac:dyDescent="0.35">
      <c r="A212" s="37" t="s">
        <v>208</v>
      </c>
      <c r="B212" s="38" t="s">
        <v>313</v>
      </c>
      <c r="C212" s="39" t="s">
        <v>314</v>
      </c>
      <c r="D212" s="40" t="s">
        <v>227</v>
      </c>
      <c r="E212" s="40"/>
    </row>
    <row r="213" spans="1:5" ht="15.5" x14ac:dyDescent="0.35">
      <c r="A213" s="37" t="s">
        <v>208</v>
      </c>
      <c r="B213" s="38" t="s">
        <v>315</v>
      </c>
      <c r="C213" s="39" t="s">
        <v>314</v>
      </c>
      <c r="D213" s="40" t="s">
        <v>227</v>
      </c>
      <c r="E213" s="40"/>
    </row>
    <row r="214" spans="1:5" ht="15.5" x14ac:dyDescent="0.35">
      <c r="A214" s="37" t="s">
        <v>208</v>
      </c>
      <c r="B214" s="38" t="s">
        <v>316</v>
      </c>
      <c r="C214" s="39" t="s">
        <v>314</v>
      </c>
      <c r="D214" s="40" t="s">
        <v>227</v>
      </c>
      <c r="E214" s="40"/>
    </row>
    <row r="215" spans="1:5" ht="15.5" x14ac:dyDescent="0.35">
      <c r="A215" s="37" t="s">
        <v>208</v>
      </c>
      <c r="B215" s="38" t="s">
        <v>317</v>
      </c>
      <c r="C215" s="39" t="s">
        <v>314</v>
      </c>
      <c r="D215" s="40" t="s">
        <v>227</v>
      </c>
      <c r="E215" s="40"/>
    </row>
    <row r="216" spans="1:5" ht="15.5" x14ac:dyDescent="0.35">
      <c r="A216" s="37" t="s">
        <v>208</v>
      </c>
      <c r="B216" s="38" t="s">
        <v>318</v>
      </c>
      <c r="C216" s="39" t="s">
        <v>314</v>
      </c>
      <c r="D216" s="40" t="s">
        <v>227</v>
      </c>
      <c r="E216" s="40"/>
    </row>
    <row r="217" spans="1:5" ht="15.5" x14ac:dyDescent="0.35">
      <c r="A217" s="37" t="s">
        <v>208</v>
      </c>
      <c r="B217" s="38" t="s">
        <v>319</v>
      </c>
      <c r="C217" s="39" t="s">
        <v>314</v>
      </c>
      <c r="D217" s="40" t="s">
        <v>227</v>
      </c>
      <c r="E217" s="40"/>
    </row>
    <row r="218" spans="1:5" ht="15.5" x14ac:dyDescent="0.35">
      <c r="A218" s="37" t="s">
        <v>208</v>
      </c>
      <c r="B218" s="38" t="s">
        <v>320</v>
      </c>
      <c r="C218" s="39" t="s">
        <v>314</v>
      </c>
      <c r="D218" s="40" t="s">
        <v>227</v>
      </c>
      <c r="E218" s="40"/>
    </row>
    <row r="219" spans="1:5" ht="15.5" x14ac:dyDescent="0.35">
      <c r="A219" s="37" t="s">
        <v>208</v>
      </c>
      <c r="B219" s="38" t="s">
        <v>321</v>
      </c>
      <c r="C219" s="39" t="s">
        <v>322</v>
      </c>
      <c r="D219" s="40" t="s">
        <v>227</v>
      </c>
      <c r="E219" s="40"/>
    </row>
    <row r="220" spans="1:5" ht="15.5" x14ac:dyDescent="0.35">
      <c r="A220" s="37" t="s">
        <v>208</v>
      </c>
      <c r="B220" s="38" t="s">
        <v>323</v>
      </c>
      <c r="C220" s="39" t="s">
        <v>322</v>
      </c>
      <c r="D220" s="40" t="s">
        <v>227</v>
      </c>
      <c r="E220" s="40"/>
    </row>
    <row r="221" spans="1:5" ht="15.5" x14ac:dyDescent="0.35">
      <c r="A221" s="37" t="s">
        <v>208</v>
      </c>
      <c r="B221" s="38" t="s">
        <v>324</v>
      </c>
      <c r="C221" s="39" t="s">
        <v>322</v>
      </c>
      <c r="D221" s="40" t="s">
        <v>227</v>
      </c>
      <c r="E221" s="40"/>
    </row>
    <row r="222" spans="1:5" ht="15.5" x14ac:dyDescent="0.35">
      <c r="A222" s="37" t="s">
        <v>208</v>
      </c>
      <c r="B222" s="38" t="s">
        <v>325</v>
      </c>
      <c r="C222" s="39" t="s">
        <v>322</v>
      </c>
      <c r="D222" s="40" t="s">
        <v>227</v>
      </c>
      <c r="E222" s="40"/>
    </row>
    <row r="223" spans="1:5" ht="15.5" x14ac:dyDescent="0.35">
      <c r="A223" s="37" t="s">
        <v>208</v>
      </c>
      <c r="B223" s="38" t="s">
        <v>326</v>
      </c>
      <c r="C223" s="39" t="s">
        <v>327</v>
      </c>
      <c r="D223" s="40" t="s">
        <v>4</v>
      </c>
      <c r="E223" s="40"/>
    </row>
    <row r="224" spans="1:5" ht="15.5" x14ac:dyDescent="0.35">
      <c r="A224" s="37" t="s">
        <v>208</v>
      </c>
      <c r="B224" s="38" t="s">
        <v>326</v>
      </c>
      <c r="C224" s="39" t="s">
        <v>327</v>
      </c>
      <c r="D224" s="40" t="s">
        <v>4</v>
      </c>
      <c r="E224" s="40"/>
    </row>
    <row r="225" spans="1:5" ht="15.5" x14ac:dyDescent="0.35">
      <c r="A225" s="37" t="s">
        <v>208</v>
      </c>
      <c r="B225" s="38" t="s">
        <v>326</v>
      </c>
      <c r="C225" s="39" t="s">
        <v>328</v>
      </c>
      <c r="D225" s="40"/>
      <c r="E225" s="40"/>
    </row>
    <row r="226" spans="1:5" ht="15.5" x14ac:dyDescent="0.35">
      <c r="A226" s="37" t="s">
        <v>208</v>
      </c>
      <c r="B226" s="38" t="s">
        <v>326</v>
      </c>
      <c r="C226" s="39" t="s">
        <v>328</v>
      </c>
      <c r="D226" s="40"/>
      <c r="E226" s="40"/>
    </row>
    <row r="227" spans="1:5" ht="15.5" x14ac:dyDescent="0.35">
      <c r="A227" s="37" t="s">
        <v>208</v>
      </c>
      <c r="B227" s="38" t="s">
        <v>326</v>
      </c>
      <c r="C227" s="39" t="s">
        <v>328</v>
      </c>
      <c r="D227" s="40"/>
      <c r="E227" s="40"/>
    </row>
    <row r="228" spans="1:5" ht="15.5" x14ac:dyDescent="0.35">
      <c r="A228" s="37" t="s">
        <v>208</v>
      </c>
      <c r="B228" s="38" t="s">
        <v>326</v>
      </c>
      <c r="C228" s="39" t="s">
        <v>328</v>
      </c>
      <c r="D228" s="40"/>
      <c r="E228" s="40"/>
    </row>
    <row r="229" spans="1:5" ht="15.5" x14ac:dyDescent="0.35">
      <c r="A229" s="37" t="s">
        <v>208</v>
      </c>
      <c r="B229" s="38" t="s">
        <v>326</v>
      </c>
      <c r="C229" s="39" t="s">
        <v>328</v>
      </c>
      <c r="D229" s="40"/>
      <c r="E229" s="40"/>
    </row>
    <row r="230" spans="1:5" ht="15.5" x14ac:dyDescent="0.35">
      <c r="A230" s="37" t="s">
        <v>208</v>
      </c>
      <c r="B230" s="38" t="s">
        <v>326</v>
      </c>
      <c r="C230" s="39" t="s">
        <v>328</v>
      </c>
      <c r="D230" s="40"/>
      <c r="E230" s="40"/>
    </row>
    <row r="231" spans="1:5" ht="15.5" x14ac:dyDescent="0.35">
      <c r="A231" s="37" t="s">
        <v>208</v>
      </c>
      <c r="B231" s="38" t="s">
        <v>326</v>
      </c>
      <c r="C231" s="39" t="s">
        <v>328</v>
      </c>
      <c r="D231" s="40" t="s">
        <v>4</v>
      </c>
      <c r="E231" s="40"/>
    </row>
    <row r="232" spans="1:5" ht="15.5" x14ac:dyDescent="0.35">
      <c r="A232" s="37" t="s">
        <v>208</v>
      </c>
      <c r="B232" s="38" t="s">
        <v>326</v>
      </c>
      <c r="C232" s="39" t="s">
        <v>328</v>
      </c>
      <c r="D232" s="40"/>
      <c r="E232" s="40"/>
    </row>
    <row r="233" spans="1:5" ht="15.5" x14ac:dyDescent="0.35">
      <c r="A233" s="37" t="s">
        <v>208</v>
      </c>
      <c r="B233" s="38" t="s">
        <v>329</v>
      </c>
      <c r="C233" s="39" t="s">
        <v>330</v>
      </c>
      <c r="D233" s="40" t="s">
        <v>4</v>
      </c>
      <c r="E233" s="40"/>
    </row>
    <row r="234" spans="1:5" ht="15.5" x14ac:dyDescent="0.35">
      <c r="A234" s="37" t="s">
        <v>208</v>
      </c>
      <c r="B234" s="38" t="s">
        <v>329</v>
      </c>
      <c r="C234" s="39" t="s">
        <v>330</v>
      </c>
      <c r="D234" s="40" t="s">
        <v>4</v>
      </c>
      <c r="E234" s="40"/>
    </row>
    <row r="235" spans="1:5" ht="15.5" x14ac:dyDescent="0.35">
      <c r="A235" s="37" t="s">
        <v>208</v>
      </c>
      <c r="B235" s="38" t="s">
        <v>329</v>
      </c>
      <c r="C235" s="39" t="s">
        <v>330</v>
      </c>
      <c r="D235" s="40" t="s">
        <v>4</v>
      </c>
      <c r="E235" s="40"/>
    </row>
    <row r="236" spans="1:5" ht="15.5" x14ac:dyDescent="0.35">
      <c r="A236" s="37" t="s">
        <v>208</v>
      </c>
      <c r="B236" s="38" t="s">
        <v>329</v>
      </c>
      <c r="C236" s="39" t="s">
        <v>330</v>
      </c>
      <c r="D236" s="40"/>
      <c r="E236" s="40"/>
    </row>
    <row r="237" spans="1:5" ht="15.5" x14ac:dyDescent="0.35">
      <c r="A237" s="37" t="s">
        <v>208</v>
      </c>
      <c r="B237" s="38" t="s">
        <v>331</v>
      </c>
      <c r="C237" s="39" t="s">
        <v>332</v>
      </c>
      <c r="D237" s="40"/>
      <c r="E237" s="40"/>
    </row>
    <row r="238" spans="1:5" ht="15.5" x14ac:dyDescent="0.35">
      <c r="A238" s="37" t="s">
        <v>208</v>
      </c>
      <c r="B238" s="38" t="s">
        <v>331</v>
      </c>
      <c r="C238" s="39" t="s">
        <v>332</v>
      </c>
      <c r="D238" s="40"/>
      <c r="E238" s="40"/>
    </row>
    <row r="239" spans="1:5" ht="15.5" x14ac:dyDescent="0.35">
      <c r="A239" s="37" t="s">
        <v>208</v>
      </c>
      <c r="B239" s="38" t="s">
        <v>331</v>
      </c>
      <c r="C239" s="39" t="s">
        <v>332</v>
      </c>
      <c r="D239" s="40"/>
      <c r="E239" s="40"/>
    </row>
    <row r="240" spans="1:5" ht="15.5" x14ac:dyDescent="0.35">
      <c r="A240" s="37" t="s">
        <v>208</v>
      </c>
      <c r="B240" s="38" t="s">
        <v>331</v>
      </c>
      <c r="C240" s="39" t="s">
        <v>332</v>
      </c>
      <c r="D240" s="40"/>
      <c r="E240" s="40"/>
    </row>
    <row r="241" spans="1:5" ht="15.5" x14ac:dyDescent="0.35">
      <c r="A241" s="37" t="s">
        <v>208</v>
      </c>
      <c r="B241" s="38" t="s">
        <v>331</v>
      </c>
      <c r="C241" s="39" t="s">
        <v>332</v>
      </c>
      <c r="D241" s="40"/>
      <c r="E241" s="40"/>
    </row>
    <row r="242" spans="1:5" ht="15.5" x14ac:dyDescent="0.35">
      <c r="A242" s="37" t="s">
        <v>208</v>
      </c>
      <c r="B242" s="38" t="s">
        <v>331</v>
      </c>
      <c r="C242" s="39" t="s">
        <v>332</v>
      </c>
      <c r="D242" s="40"/>
      <c r="E242" s="40"/>
    </row>
    <row r="243" spans="1:5" ht="15.5" x14ac:dyDescent="0.35">
      <c r="A243" s="37" t="s">
        <v>208</v>
      </c>
      <c r="B243" s="38" t="s">
        <v>331</v>
      </c>
      <c r="C243" s="39" t="s">
        <v>332</v>
      </c>
      <c r="D243" s="40"/>
      <c r="E243" s="40"/>
    </row>
    <row r="244" spans="1:5" ht="15.5" x14ac:dyDescent="0.35">
      <c r="A244" s="37" t="s">
        <v>208</v>
      </c>
      <c r="B244" s="38" t="s">
        <v>331</v>
      </c>
      <c r="C244" s="39" t="s">
        <v>332</v>
      </c>
      <c r="D244" s="40"/>
      <c r="E244" s="40"/>
    </row>
    <row r="245" spans="1:5" ht="15.5" x14ac:dyDescent="0.35">
      <c r="A245" s="37" t="s">
        <v>208</v>
      </c>
      <c r="B245" s="38" t="s">
        <v>331</v>
      </c>
      <c r="C245" s="39" t="s">
        <v>332</v>
      </c>
      <c r="D245" s="40"/>
      <c r="E245" s="40"/>
    </row>
    <row r="246" spans="1:5" ht="15.5" x14ac:dyDescent="0.35">
      <c r="A246" s="37" t="s">
        <v>208</v>
      </c>
      <c r="B246" s="38" t="s">
        <v>331</v>
      </c>
      <c r="C246" s="39" t="s">
        <v>332</v>
      </c>
      <c r="D246" s="40"/>
      <c r="E246" s="40"/>
    </row>
    <row r="247" spans="1:5" ht="15.5" x14ac:dyDescent="0.35">
      <c r="A247" s="37" t="s">
        <v>208</v>
      </c>
      <c r="B247" s="38" t="s">
        <v>331</v>
      </c>
      <c r="C247" s="39" t="s">
        <v>332</v>
      </c>
      <c r="D247" s="40"/>
      <c r="E247" s="40"/>
    </row>
    <row r="248" spans="1:5" ht="15.5" x14ac:dyDescent="0.35">
      <c r="A248" s="37" t="s">
        <v>208</v>
      </c>
      <c r="B248" s="38" t="s">
        <v>333</v>
      </c>
      <c r="C248" s="39" t="s">
        <v>200</v>
      </c>
      <c r="D248" s="40" t="s">
        <v>6</v>
      </c>
      <c r="E248" s="40"/>
    </row>
    <row r="249" spans="1:5" ht="15.5" x14ac:dyDescent="0.35">
      <c r="A249" s="37" t="s">
        <v>208</v>
      </c>
      <c r="B249" s="38" t="s">
        <v>333</v>
      </c>
      <c r="C249" s="39" t="s">
        <v>200</v>
      </c>
      <c r="D249" s="40" t="s">
        <v>6</v>
      </c>
      <c r="E249" s="40"/>
    </row>
    <row r="250" spans="1:5" ht="15.5" x14ac:dyDescent="0.35">
      <c r="A250" s="37" t="s">
        <v>208</v>
      </c>
      <c r="B250" s="38" t="s">
        <v>333</v>
      </c>
      <c r="C250" s="39" t="s">
        <v>200</v>
      </c>
      <c r="D250" s="40"/>
      <c r="E250" s="40"/>
    </row>
    <row r="251" spans="1:5" ht="15.5" x14ac:dyDescent="0.35">
      <c r="A251" s="37" t="s">
        <v>208</v>
      </c>
      <c r="B251" s="38" t="s">
        <v>333</v>
      </c>
      <c r="C251" s="39" t="s">
        <v>200</v>
      </c>
      <c r="D251" s="40"/>
      <c r="E251" s="40"/>
    </row>
    <row r="252" spans="1:5" ht="15.5" x14ac:dyDescent="0.35">
      <c r="A252" s="37" t="s">
        <v>208</v>
      </c>
      <c r="B252" s="38" t="s">
        <v>333</v>
      </c>
      <c r="C252" s="39" t="s">
        <v>200</v>
      </c>
      <c r="D252" s="40"/>
      <c r="E252" s="40"/>
    </row>
    <row r="253" spans="1:5" ht="15.5" x14ac:dyDescent="0.35">
      <c r="A253" s="37" t="s">
        <v>208</v>
      </c>
      <c r="B253" s="38" t="s">
        <v>333</v>
      </c>
      <c r="C253" s="39" t="s">
        <v>200</v>
      </c>
      <c r="D253" s="40" t="s">
        <v>6</v>
      </c>
      <c r="E253" s="40"/>
    </row>
    <row r="254" spans="1:5" ht="15.5" x14ac:dyDescent="0.35">
      <c r="A254" s="37" t="s">
        <v>208</v>
      </c>
      <c r="B254" s="38" t="s">
        <v>334</v>
      </c>
      <c r="C254" s="39" t="s">
        <v>335</v>
      </c>
      <c r="D254" s="40" t="s">
        <v>6</v>
      </c>
      <c r="E254" s="40"/>
    </row>
    <row r="255" spans="1:5" ht="15.5" x14ac:dyDescent="0.35">
      <c r="A255" s="37" t="s">
        <v>208</v>
      </c>
      <c r="B255" s="38" t="s">
        <v>336</v>
      </c>
      <c r="C255" s="39" t="s">
        <v>337</v>
      </c>
      <c r="D255" s="40" t="s">
        <v>6</v>
      </c>
      <c r="E255" s="40"/>
    </row>
    <row r="256" spans="1:5" ht="15.5" x14ac:dyDescent="0.35">
      <c r="A256" s="37" t="s">
        <v>208</v>
      </c>
      <c r="B256" s="38" t="s">
        <v>338</v>
      </c>
      <c r="C256" s="39" t="s">
        <v>337</v>
      </c>
      <c r="D256" s="40" t="s">
        <v>6</v>
      </c>
      <c r="E256" s="40"/>
    </row>
    <row r="257" spans="1:5" ht="15.5" x14ac:dyDescent="0.35">
      <c r="A257" s="37" t="s">
        <v>208</v>
      </c>
      <c r="B257" s="38" t="s">
        <v>339</v>
      </c>
      <c r="C257" s="39" t="s">
        <v>340</v>
      </c>
      <c r="D257" s="40" t="s">
        <v>6</v>
      </c>
      <c r="E257" s="40"/>
    </row>
    <row r="258" spans="1:5" ht="15.5" x14ac:dyDescent="0.35">
      <c r="A258" s="37" t="s">
        <v>208</v>
      </c>
      <c r="B258" s="38" t="s">
        <v>341</v>
      </c>
      <c r="C258" s="39" t="s">
        <v>340</v>
      </c>
      <c r="D258" s="40" t="s">
        <v>6</v>
      </c>
      <c r="E258" s="40"/>
    </row>
    <row r="259" spans="1:5" ht="15.5" x14ac:dyDescent="0.35">
      <c r="A259" s="37" t="s">
        <v>208</v>
      </c>
      <c r="B259" s="38" t="s">
        <v>342</v>
      </c>
      <c r="C259" s="39" t="s">
        <v>343</v>
      </c>
      <c r="D259" s="40" t="s">
        <v>4</v>
      </c>
      <c r="E259" s="40"/>
    </row>
    <row r="260" spans="1:5" ht="15.5" x14ac:dyDescent="0.35">
      <c r="A260" s="37" t="s">
        <v>208</v>
      </c>
      <c r="B260" s="38" t="s">
        <v>344</v>
      </c>
      <c r="C260" s="39" t="s">
        <v>343</v>
      </c>
      <c r="D260" s="40" t="s">
        <v>4</v>
      </c>
      <c r="E260" s="40"/>
    </row>
    <row r="261" spans="1:5" ht="15.5" x14ac:dyDescent="0.35">
      <c r="A261" s="37" t="s">
        <v>208</v>
      </c>
      <c r="B261" s="38" t="s">
        <v>345</v>
      </c>
      <c r="C261" s="39" t="s">
        <v>346</v>
      </c>
      <c r="D261" s="40" t="s">
        <v>4</v>
      </c>
      <c r="E261" s="40"/>
    </row>
    <row r="262" spans="1:5" ht="15.5" x14ac:dyDescent="0.35">
      <c r="A262" s="37" t="s">
        <v>208</v>
      </c>
      <c r="B262" s="38" t="s">
        <v>347</v>
      </c>
      <c r="C262" s="39" t="s">
        <v>346</v>
      </c>
      <c r="D262" s="40" t="s">
        <v>4</v>
      </c>
      <c r="E262" s="40"/>
    </row>
    <row r="263" spans="1:5" ht="15.5" x14ac:dyDescent="0.35">
      <c r="A263" s="37" t="s">
        <v>208</v>
      </c>
      <c r="B263" s="38" t="s">
        <v>348</v>
      </c>
      <c r="C263" s="39" t="s">
        <v>349</v>
      </c>
      <c r="D263" s="40" t="s">
        <v>4</v>
      </c>
      <c r="E263" s="40"/>
    </row>
    <row r="264" spans="1:5" ht="15.5" x14ac:dyDescent="0.35">
      <c r="A264" s="37" t="s">
        <v>208</v>
      </c>
      <c r="B264" s="38" t="s">
        <v>348</v>
      </c>
      <c r="C264" s="39" t="s">
        <v>349</v>
      </c>
      <c r="D264" s="40" t="s">
        <v>4</v>
      </c>
      <c r="E264" s="40"/>
    </row>
    <row r="265" spans="1:5" ht="15.5" x14ac:dyDescent="0.35">
      <c r="A265" s="37" t="s">
        <v>208</v>
      </c>
      <c r="B265" s="38" t="s">
        <v>348</v>
      </c>
      <c r="C265" s="39" t="s">
        <v>349</v>
      </c>
      <c r="D265" s="40"/>
      <c r="E265" s="40"/>
    </row>
    <row r="266" spans="1:5" ht="15.5" x14ac:dyDescent="0.35">
      <c r="A266" s="37" t="s">
        <v>208</v>
      </c>
      <c r="B266" s="38" t="s">
        <v>348</v>
      </c>
      <c r="C266" s="39" t="s">
        <v>349</v>
      </c>
      <c r="D266" s="40"/>
      <c r="E266" s="40"/>
    </row>
    <row r="267" spans="1:5" ht="15.5" x14ac:dyDescent="0.35">
      <c r="A267" s="37" t="s">
        <v>208</v>
      </c>
      <c r="B267" s="38" t="s">
        <v>348</v>
      </c>
      <c r="C267" s="39" t="s">
        <v>349</v>
      </c>
      <c r="D267" s="40"/>
      <c r="E267" s="40"/>
    </row>
    <row r="268" spans="1:5" ht="15.5" x14ac:dyDescent="0.35">
      <c r="A268" s="37" t="s">
        <v>208</v>
      </c>
      <c r="B268" s="38" t="s">
        <v>348</v>
      </c>
      <c r="C268" s="39" t="s">
        <v>349</v>
      </c>
      <c r="D268" s="40" t="s">
        <v>4</v>
      </c>
      <c r="E268" s="40"/>
    </row>
    <row r="269" spans="1:5" ht="15.5" x14ac:dyDescent="0.35">
      <c r="A269" s="37" t="s">
        <v>208</v>
      </c>
      <c r="B269" s="38" t="s">
        <v>348</v>
      </c>
      <c r="C269" s="39" t="s">
        <v>349</v>
      </c>
      <c r="D269" s="40"/>
      <c r="E269" s="40"/>
    </row>
    <row r="270" spans="1:5" ht="15.5" x14ac:dyDescent="0.35">
      <c r="A270" s="37" t="s">
        <v>208</v>
      </c>
      <c r="B270" s="38" t="s">
        <v>350</v>
      </c>
      <c r="C270" s="39" t="s">
        <v>349</v>
      </c>
      <c r="D270" s="40" t="s">
        <v>4</v>
      </c>
      <c r="E270" s="40"/>
    </row>
    <row r="271" spans="1:5" ht="15.5" x14ac:dyDescent="0.35">
      <c r="A271" s="37" t="s">
        <v>208</v>
      </c>
      <c r="B271" s="38" t="s">
        <v>350</v>
      </c>
      <c r="C271" s="39" t="s">
        <v>349</v>
      </c>
      <c r="D271" s="40" t="s">
        <v>4</v>
      </c>
      <c r="E271" s="40"/>
    </row>
    <row r="272" spans="1:5" ht="15.5" x14ac:dyDescent="0.35">
      <c r="A272" s="37" t="s">
        <v>208</v>
      </c>
      <c r="B272" s="38" t="s">
        <v>350</v>
      </c>
      <c r="C272" s="39" t="s">
        <v>349</v>
      </c>
      <c r="D272" s="40" t="s">
        <v>4</v>
      </c>
      <c r="E272" s="40"/>
    </row>
    <row r="273" spans="1:5" ht="15.5" x14ac:dyDescent="0.35">
      <c r="A273" s="37" t="s">
        <v>208</v>
      </c>
      <c r="B273" s="38" t="s">
        <v>350</v>
      </c>
      <c r="C273" s="39" t="s">
        <v>349</v>
      </c>
      <c r="D273" s="40"/>
      <c r="E273" s="40"/>
    </row>
    <row r="274" spans="1:5" ht="15.5" x14ac:dyDescent="0.35">
      <c r="A274" s="37" t="s">
        <v>208</v>
      </c>
      <c r="B274" s="38" t="s">
        <v>351</v>
      </c>
      <c r="C274" s="39" t="s">
        <v>352</v>
      </c>
      <c r="D274" s="40"/>
      <c r="E274" s="40"/>
    </row>
    <row r="275" spans="1:5" ht="15.5" x14ac:dyDescent="0.35">
      <c r="A275" s="37" t="s">
        <v>208</v>
      </c>
      <c r="B275" s="38" t="s">
        <v>137</v>
      </c>
      <c r="C275" s="39" t="s">
        <v>353</v>
      </c>
      <c r="D275" s="40" t="s">
        <v>6</v>
      </c>
      <c r="E275" s="40"/>
    </row>
    <row r="276" spans="1:5" ht="15.5" x14ac:dyDescent="0.35">
      <c r="A276" s="37" t="s">
        <v>208</v>
      </c>
      <c r="B276" s="38" t="s">
        <v>354</v>
      </c>
      <c r="C276" s="39" t="s">
        <v>355</v>
      </c>
      <c r="D276" s="40" t="s">
        <v>6</v>
      </c>
      <c r="E276" s="40"/>
    </row>
    <row r="277" spans="1:5" ht="15.5" x14ac:dyDescent="0.35">
      <c r="A277" s="37" t="s">
        <v>208</v>
      </c>
      <c r="B277" s="38" t="s">
        <v>356</v>
      </c>
      <c r="C277" s="39" t="s">
        <v>355</v>
      </c>
      <c r="D277" s="40" t="s">
        <v>6</v>
      </c>
      <c r="E277" s="40"/>
    </row>
    <row r="278" spans="1:5" ht="15.5" x14ac:dyDescent="0.35">
      <c r="A278" s="37" t="s">
        <v>208</v>
      </c>
      <c r="B278" s="38" t="s">
        <v>357</v>
      </c>
      <c r="C278" s="39" t="s">
        <v>358</v>
      </c>
      <c r="D278" s="40" t="s">
        <v>6</v>
      </c>
      <c r="E278" s="40"/>
    </row>
    <row r="279" spans="1:5" ht="15.5" x14ac:dyDescent="0.35">
      <c r="A279" s="37" t="s">
        <v>208</v>
      </c>
      <c r="B279" s="38" t="s">
        <v>359</v>
      </c>
      <c r="C279" s="39" t="s">
        <v>358</v>
      </c>
      <c r="D279" s="40" t="s">
        <v>6</v>
      </c>
      <c r="E279" s="40"/>
    </row>
    <row r="280" spans="1:5" ht="15.5" x14ac:dyDescent="0.35">
      <c r="A280" s="37" t="s">
        <v>208</v>
      </c>
      <c r="B280" s="38" t="s">
        <v>138</v>
      </c>
      <c r="C280" s="39" t="s">
        <v>201</v>
      </c>
      <c r="D280" s="40"/>
      <c r="E280" s="40"/>
    </row>
    <row r="281" spans="1:5" ht="15.5" x14ac:dyDescent="0.35">
      <c r="A281" s="37" t="s">
        <v>208</v>
      </c>
      <c r="B281" s="38" t="s">
        <v>139</v>
      </c>
      <c r="C281" s="39" t="s">
        <v>202</v>
      </c>
      <c r="D281" s="40"/>
      <c r="E281" s="40"/>
    </row>
    <row r="282" spans="1:5" ht="15.5" x14ac:dyDescent="0.35">
      <c r="A282" s="37" t="s">
        <v>360</v>
      </c>
      <c r="B282" s="38" t="s">
        <v>361</v>
      </c>
      <c r="C282" s="39" t="s">
        <v>362</v>
      </c>
      <c r="D282" s="40" t="s">
        <v>227</v>
      </c>
      <c r="E282" s="40"/>
    </row>
    <row r="283" spans="1:5" ht="15.5" x14ac:dyDescent="0.35">
      <c r="A283" s="37" t="s">
        <v>360</v>
      </c>
      <c r="B283" s="38" t="s">
        <v>363</v>
      </c>
      <c r="C283" s="39" t="s">
        <v>362</v>
      </c>
      <c r="D283" s="40" t="s">
        <v>227</v>
      </c>
      <c r="E283" s="40" t="s">
        <v>284</v>
      </c>
    </row>
    <row r="284" spans="1:5" ht="15.5" x14ac:dyDescent="0.35">
      <c r="A284" s="37" t="s">
        <v>360</v>
      </c>
      <c r="B284" s="38" t="s">
        <v>364</v>
      </c>
      <c r="C284" s="39" t="s">
        <v>362</v>
      </c>
      <c r="D284" s="40" t="s">
        <v>276</v>
      </c>
      <c r="E284" s="40"/>
    </row>
    <row r="285" spans="1:5" ht="15.5" x14ac:dyDescent="0.35">
      <c r="A285" s="37" t="s">
        <v>360</v>
      </c>
      <c r="B285" s="38" t="s">
        <v>365</v>
      </c>
      <c r="C285" s="39" t="s">
        <v>362</v>
      </c>
      <c r="D285" s="40" t="s">
        <v>276</v>
      </c>
      <c r="E285" s="40" t="s">
        <v>284</v>
      </c>
    </row>
    <row r="286" spans="1:5" ht="15.5" x14ac:dyDescent="0.35">
      <c r="A286" s="37" t="s">
        <v>360</v>
      </c>
      <c r="B286" s="38" t="s">
        <v>366</v>
      </c>
      <c r="C286" s="39" t="s">
        <v>362</v>
      </c>
      <c r="D286" s="40" t="s">
        <v>227</v>
      </c>
      <c r="E286" s="40"/>
    </row>
    <row r="287" spans="1:5" ht="15.5" x14ac:dyDescent="0.35">
      <c r="A287" s="37" t="s">
        <v>360</v>
      </c>
      <c r="B287" s="38" t="s">
        <v>367</v>
      </c>
      <c r="C287" s="39" t="s">
        <v>362</v>
      </c>
      <c r="D287" s="40" t="s">
        <v>227</v>
      </c>
      <c r="E287" s="40" t="s">
        <v>284</v>
      </c>
    </row>
    <row r="288" spans="1:5" ht="15.5" x14ac:dyDescent="0.35">
      <c r="A288" s="37" t="s">
        <v>360</v>
      </c>
      <c r="B288" s="38" t="s">
        <v>368</v>
      </c>
      <c r="C288" s="39" t="s">
        <v>362</v>
      </c>
      <c r="D288" s="40" t="s">
        <v>227</v>
      </c>
      <c r="E288" s="40"/>
    </row>
    <row r="289" spans="1:5" ht="15.5" x14ac:dyDescent="0.35">
      <c r="A289" s="37" t="s">
        <v>360</v>
      </c>
      <c r="B289" s="38" t="s">
        <v>369</v>
      </c>
      <c r="C289" s="39" t="s">
        <v>362</v>
      </c>
      <c r="D289" s="40" t="s">
        <v>227</v>
      </c>
      <c r="E289" s="40" t="s">
        <v>284</v>
      </c>
    </row>
    <row r="290" spans="1:5" ht="15.5" x14ac:dyDescent="0.35">
      <c r="A290" s="37" t="s">
        <v>360</v>
      </c>
      <c r="B290" s="38" t="s">
        <v>370</v>
      </c>
      <c r="C290" s="39" t="s">
        <v>362</v>
      </c>
      <c r="D290" s="40" t="s">
        <v>227</v>
      </c>
      <c r="E290" s="40"/>
    </row>
    <row r="291" spans="1:5" ht="15.5" x14ac:dyDescent="0.35">
      <c r="A291" s="37" t="s">
        <v>360</v>
      </c>
      <c r="B291" s="38" t="s">
        <v>371</v>
      </c>
      <c r="C291" s="39" t="s">
        <v>362</v>
      </c>
      <c r="D291" s="40" t="s">
        <v>227</v>
      </c>
      <c r="E291" s="40" t="s">
        <v>284</v>
      </c>
    </row>
    <row r="292" spans="1:5" ht="15.5" x14ac:dyDescent="0.35">
      <c r="A292" s="37" t="s">
        <v>360</v>
      </c>
      <c r="B292" s="38" t="s">
        <v>372</v>
      </c>
      <c r="C292" s="39" t="s">
        <v>362</v>
      </c>
      <c r="D292" s="40" t="s">
        <v>227</v>
      </c>
      <c r="E292" s="40"/>
    </row>
    <row r="293" spans="1:5" ht="15.5" x14ac:dyDescent="0.35">
      <c r="A293" s="37" t="s">
        <v>360</v>
      </c>
      <c r="B293" s="38" t="s">
        <v>373</v>
      </c>
      <c r="C293" s="39" t="s">
        <v>362</v>
      </c>
      <c r="D293" s="40" t="s">
        <v>227</v>
      </c>
      <c r="E293" s="40" t="s">
        <v>284</v>
      </c>
    </row>
    <row r="294" spans="1:5" ht="15.5" x14ac:dyDescent="0.35">
      <c r="A294" s="37" t="s">
        <v>360</v>
      </c>
      <c r="B294" s="38">
        <v>108</v>
      </c>
      <c r="C294" s="39" t="s">
        <v>362</v>
      </c>
      <c r="D294" s="40" t="s">
        <v>227</v>
      </c>
      <c r="E294" s="40"/>
    </row>
    <row r="295" spans="1:5" ht="15.5" x14ac:dyDescent="0.35">
      <c r="A295" s="37" t="s">
        <v>374</v>
      </c>
      <c r="B295" s="38" t="s">
        <v>375</v>
      </c>
      <c r="C295" s="39" t="s">
        <v>362</v>
      </c>
      <c r="D295" s="40" t="s">
        <v>276</v>
      </c>
      <c r="E295" s="40"/>
    </row>
    <row r="296" spans="1:5" ht="15.5" x14ac:dyDescent="0.35">
      <c r="A296" s="37" t="s">
        <v>374</v>
      </c>
      <c r="B296" s="38" t="s">
        <v>376</v>
      </c>
      <c r="C296" s="39" t="s">
        <v>362</v>
      </c>
      <c r="D296" s="40" t="s">
        <v>276</v>
      </c>
      <c r="E296" s="40"/>
    </row>
    <row r="297" spans="1:5" ht="15.5" x14ac:dyDescent="0.35">
      <c r="A297" s="37" t="s">
        <v>374</v>
      </c>
      <c r="B297" s="38" t="s">
        <v>377</v>
      </c>
      <c r="C297" s="39" t="s">
        <v>362</v>
      </c>
      <c r="D297" s="40" t="s">
        <v>276</v>
      </c>
      <c r="E297" s="40"/>
    </row>
    <row r="298" spans="1:5" ht="15.5" x14ac:dyDescent="0.35">
      <c r="A298" s="37" t="s">
        <v>374</v>
      </c>
      <c r="B298" s="38" t="s">
        <v>378</v>
      </c>
      <c r="C298" s="39" t="s">
        <v>362</v>
      </c>
      <c r="D298" s="40" t="s">
        <v>276</v>
      </c>
      <c r="E298" s="40"/>
    </row>
    <row r="299" spans="1:5" ht="15.5" x14ac:dyDescent="0.35">
      <c r="A299" s="37" t="s">
        <v>374</v>
      </c>
      <c r="B299" s="38" t="s">
        <v>379</v>
      </c>
      <c r="C299" s="39" t="s">
        <v>362</v>
      </c>
      <c r="D299" s="40" t="s">
        <v>276</v>
      </c>
      <c r="E299" s="40"/>
    </row>
    <row r="300" spans="1:5" ht="15.5" x14ac:dyDescent="0.35">
      <c r="A300" s="37" t="s">
        <v>374</v>
      </c>
      <c r="B300" s="38" t="s">
        <v>380</v>
      </c>
      <c r="C300" s="39" t="s">
        <v>362</v>
      </c>
      <c r="D300" s="40" t="s">
        <v>276</v>
      </c>
      <c r="E300" s="40"/>
    </row>
    <row r="301" spans="1:5" ht="15.5" x14ac:dyDescent="0.35">
      <c r="A301" s="37" t="s">
        <v>374</v>
      </c>
      <c r="B301" s="38" t="s">
        <v>381</v>
      </c>
      <c r="C301" s="39" t="s">
        <v>362</v>
      </c>
      <c r="D301" s="40" t="s">
        <v>276</v>
      </c>
      <c r="E301" s="40"/>
    </row>
    <row r="302" spans="1:5" ht="15.5" x14ac:dyDescent="0.35">
      <c r="A302" s="37" t="s">
        <v>374</v>
      </c>
      <c r="B302" s="38" t="s">
        <v>382</v>
      </c>
      <c r="C302" s="39" t="s">
        <v>362</v>
      </c>
      <c r="D302" s="40" t="s">
        <v>276</v>
      </c>
      <c r="E302" s="40"/>
    </row>
    <row r="303" spans="1:5" ht="15.5" x14ac:dyDescent="0.35">
      <c r="A303" s="37" t="s">
        <v>374</v>
      </c>
      <c r="B303" s="38" t="s">
        <v>383</v>
      </c>
      <c r="C303" s="39" t="s">
        <v>362</v>
      </c>
      <c r="D303" s="40" t="s">
        <v>227</v>
      </c>
      <c r="E303" s="40"/>
    </row>
    <row r="304" spans="1:5" ht="15.5" x14ac:dyDescent="0.35">
      <c r="A304" s="37" t="s">
        <v>374</v>
      </c>
      <c r="B304" s="38" t="s">
        <v>384</v>
      </c>
      <c r="C304" s="39" t="s">
        <v>362</v>
      </c>
      <c r="D304" s="40" t="s">
        <v>227</v>
      </c>
      <c r="E304" s="40"/>
    </row>
    <row r="305" spans="1:5" ht="15.5" x14ac:dyDescent="0.35">
      <c r="A305" s="37" t="s">
        <v>374</v>
      </c>
      <c r="B305" s="38" t="s">
        <v>385</v>
      </c>
      <c r="C305" s="39" t="s">
        <v>362</v>
      </c>
      <c r="D305" s="40" t="s">
        <v>227</v>
      </c>
      <c r="E305" s="40"/>
    </row>
    <row r="306" spans="1:5" ht="15.5" x14ac:dyDescent="0.35">
      <c r="A306" s="37" t="s">
        <v>374</v>
      </c>
      <c r="B306" s="38" t="s">
        <v>386</v>
      </c>
      <c r="C306" s="39" t="s">
        <v>362</v>
      </c>
      <c r="D306" s="40" t="s">
        <v>227</v>
      </c>
      <c r="E306" s="40"/>
    </row>
    <row r="307" spans="1:5" ht="15.5" x14ac:dyDescent="0.35">
      <c r="A307" s="37" t="s">
        <v>374</v>
      </c>
      <c r="B307" s="38" t="s">
        <v>387</v>
      </c>
      <c r="C307" s="39" t="s">
        <v>362</v>
      </c>
      <c r="D307" s="40" t="s">
        <v>227</v>
      </c>
      <c r="E307" s="40" t="s">
        <v>284</v>
      </c>
    </row>
    <row r="308" spans="1:5" ht="15.5" x14ac:dyDescent="0.35">
      <c r="A308" s="37" t="s">
        <v>374</v>
      </c>
      <c r="B308" s="38" t="s">
        <v>388</v>
      </c>
      <c r="C308" s="39" t="s">
        <v>362</v>
      </c>
      <c r="D308" s="40" t="s">
        <v>227</v>
      </c>
      <c r="E308" s="40" t="s">
        <v>284</v>
      </c>
    </row>
    <row r="309" spans="1:5" ht="15.5" x14ac:dyDescent="0.35">
      <c r="A309" s="37" t="s">
        <v>374</v>
      </c>
      <c r="B309" s="38" t="s">
        <v>389</v>
      </c>
      <c r="C309" s="39" t="s">
        <v>362</v>
      </c>
      <c r="D309" s="40" t="s">
        <v>227</v>
      </c>
      <c r="E309" s="40" t="s">
        <v>284</v>
      </c>
    </row>
    <row r="310" spans="1:5" ht="15.5" x14ac:dyDescent="0.35">
      <c r="A310" s="37" t="s">
        <v>374</v>
      </c>
      <c r="B310" s="38" t="s">
        <v>390</v>
      </c>
      <c r="C310" s="39" t="s">
        <v>362</v>
      </c>
      <c r="D310" s="40" t="s">
        <v>227</v>
      </c>
      <c r="E310" s="40" t="s">
        <v>284</v>
      </c>
    </row>
    <row r="311" spans="1:5" ht="15.5" x14ac:dyDescent="0.35">
      <c r="A311" s="37" t="s">
        <v>374</v>
      </c>
      <c r="B311" s="38" t="s">
        <v>391</v>
      </c>
      <c r="C311" s="39" t="s">
        <v>362</v>
      </c>
      <c r="D311" s="40" t="s">
        <v>227</v>
      </c>
      <c r="E311" s="40"/>
    </row>
    <row r="312" spans="1:5" ht="15.5" x14ac:dyDescent="0.35">
      <c r="A312" s="37" t="s">
        <v>374</v>
      </c>
      <c r="B312" s="38" t="s">
        <v>392</v>
      </c>
      <c r="C312" s="39" t="s">
        <v>362</v>
      </c>
      <c r="D312" s="40" t="s">
        <v>227</v>
      </c>
      <c r="E312" s="40"/>
    </row>
    <row r="313" spans="1:5" ht="15.5" x14ac:dyDescent="0.35">
      <c r="A313" s="37" t="s">
        <v>374</v>
      </c>
      <c r="B313" s="38" t="s">
        <v>393</v>
      </c>
      <c r="C313" s="39" t="s">
        <v>362</v>
      </c>
      <c r="D313" s="40" t="s">
        <v>227</v>
      </c>
      <c r="E313" s="40"/>
    </row>
    <row r="314" spans="1:5" ht="15.5" x14ac:dyDescent="0.35">
      <c r="A314" s="37" t="s">
        <v>374</v>
      </c>
      <c r="B314" s="38" t="s">
        <v>394</v>
      </c>
      <c r="C314" s="39" t="s">
        <v>362</v>
      </c>
      <c r="D314" s="40" t="s">
        <v>227</v>
      </c>
      <c r="E314" s="40"/>
    </row>
    <row r="315" spans="1:5" ht="15.5" x14ac:dyDescent="0.35">
      <c r="A315" s="37" t="s">
        <v>374</v>
      </c>
      <c r="B315" s="38" t="s">
        <v>395</v>
      </c>
      <c r="C315" s="39" t="s">
        <v>362</v>
      </c>
      <c r="D315" s="40" t="s">
        <v>276</v>
      </c>
      <c r="E315" s="40"/>
    </row>
    <row r="316" spans="1:5" ht="15.5" x14ac:dyDescent="0.35">
      <c r="A316" s="37" t="s">
        <v>374</v>
      </c>
      <c r="B316" s="38" t="s">
        <v>396</v>
      </c>
      <c r="C316" s="39" t="s">
        <v>362</v>
      </c>
      <c r="D316" s="40" t="s">
        <v>276</v>
      </c>
      <c r="E316" s="40"/>
    </row>
    <row r="317" spans="1:5" ht="15.5" x14ac:dyDescent="0.35">
      <c r="A317" s="37" t="s">
        <v>374</v>
      </c>
      <c r="B317" s="38" t="s">
        <v>397</v>
      </c>
      <c r="C317" s="39" t="s">
        <v>362</v>
      </c>
      <c r="D317" s="40" t="s">
        <v>276</v>
      </c>
      <c r="E317" s="40" t="s">
        <v>284</v>
      </c>
    </row>
    <row r="318" spans="1:5" ht="15.5" x14ac:dyDescent="0.35">
      <c r="A318" s="37" t="s">
        <v>374</v>
      </c>
      <c r="B318" s="38" t="s">
        <v>361</v>
      </c>
      <c r="C318" s="39" t="s">
        <v>362</v>
      </c>
      <c r="D318" s="40" t="s">
        <v>227</v>
      </c>
      <c r="E318" s="40"/>
    </row>
    <row r="319" spans="1:5" ht="15.5" x14ac:dyDescent="0.35">
      <c r="A319" s="37" t="s">
        <v>374</v>
      </c>
      <c r="B319" s="38" t="s">
        <v>363</v>
      </c>
      <c r="C319" s="39" t="s">
        <v>362</v>
      </c>
      <c r="D319" s="40" t="s">
        <v>227</v>
      </c>
      <c r="E319" s="40" t="s">
        <v>284</v>
      </c>
    </row>
    <row r="320" spans="1:5" ht="15.5" x14ac:dyDescent="0.35">
      <c r="A320" s="37" t="s">
        <v>374</v>
      </c>
      <c r="B320" s="38" t="s">
        <v>398</v>
      </c>
      <c r="C320" s="39" t="s">
        <v>362</v>
      </c>
      <c r="D320" s="40" t="s">
        <v>227</v>
      </c>
      <c r="E320" s="40" t="s">
        <v>284</v>
      </c>
    </row>
    <row r="321" spans="1:5" ht="15.5" x14ac:dyDescent="0.35">
      <c r="A321" s="37" t="s">
        <v>374</v>
      </c>
      <c r="B321" s="38" t="s">
        <v>399</v>
      </c>
      <c r="C321" s="39" t="s">
        <v>362</v>
      </c>
      <c r="D321" s="40" t="s">
        <v>227</v>
      </c>
      <c r="E321" s="40" t="s">
        <v>284</v>
      </c>
    </row>
    <row r="322" spans="1:5" ht="15.5" x14ac:dyDescent="0.35">
      <c r="A322" s="37" t="s">
        <v>374</v>
      </c>
      <c r="B322" s="38" t="s">
        <v>400</v>
      </c>
      <c r="C322" s="39" t="s">
        <v>362</v>
      </c>
      <c r="D322" s="40" t="s">
        <v>227</v>
      </c>
      <c r="E322" s="40" t="s">
        <v>284</v>
      </c>
    </row>
    <row r="323" spans="1:5" ht="15.5" x14ac:dyDescent="0.35">
      <c r="A323" s="37" t="s">
        <v>374</v>
      </c>
      <c r="B323" s="38" t="s">
        <v>368</v>
      </c>
      <c r="C323" s="39" t="s">
        <v>362</v>
      </c>
      <c r="D323" s="40" t="s">
        <v>227</v>
      </c>
      <c r="E323" s="40"/>
    </row>
    <row r="324" spans="1:5" ht="15.5" x14ac:dyDescent="0.35">
      <c r="A324" s="37" t="s">
        <v>374</v>
      </c>
      <c r="B324" s="38" t="s">
        <v>369</v>
      </c>
      <c r="C324" s="39" t="s">
        <v>362</v>
      </c>
      <c r="D324" s="40" t="s">
        <v>227</v>
      </c>
      <c r="E324" s="40" t="s">
        <v>284</v>
      </c>
    </row>
    <row r="325" spans="1:5" ht="15.5" x14ac:dyDescent="0.35">
      <c r="A325" s="37" t="s">
        <v>374</v>
      </c>
      <c r="B325" s="38" t="s">
        <v>364</v>
      </c>
      <c r="C325" s="39" t="s">
        <v>362</v>
      </c>
      <c r="D325" s="40" t="s">
        <v>227</v>
      </c>
      <c r="E325" s="40"/>
    </row>
    <row r="326" spans="1:5" ht="15.5" x14ac:dyDescent="0.35">
      <c r="A326" s="37" t="s">
        <v>374</v>
      </c>
      <c r="B326" s="38" t="s">
        <v>365</v>
      </c>
      <c r="C326" s="39" t="s">
        <v>362</v>
      </c>
      <c r="D326" s="40" t="s">
        <v>227</v>
      </c>
      <c r="E326" s="40" t="s">
        <v>284</v>
      </c>
    </row>
    <row r="327" spans="1:5" ht="15.5" x14ac:dyDescent="0.35">
      <c r="A327" s="37" t="s">
        <v>374</v>
      </c>
      <c r="B327" s="38" t="s">
        <v>370</v>
      </c>
      <c r="C327" s="39" t="s">
        <v>362</v>
      </c>
      <c r="D327" s="40" t="s">
        <v>227</v>
      </c>
      <c r="E327" s="40"/>
    </row>
    <row r="328" spans="1:5" ht="15.5" x14ac:dyDescent="0.35">
      <c r="A328" s="37" t="s">
        <v>374</v>
      </c>
      <c r="B328" s="38" t="s">
        <v>371</v>
      </c>
      <c r="C328" s="39" t="s">
        <v>362</v>
      </c>
      <c r="D328" s="40" t="s">
        <v>227</v>
      </c>
      <c r="E328" s="40" t="s">
        <v>284</v>
      </c>
    </row>
    <row r="329" spans="1:5" ht="15.5" x14ac:dyDescent="0.35">
      <c r="A329" s="37" t="s">
        <v>374</v>
      </c>
      <c r="B329" s="38" t="s">
        <v>401</v>
      </c>
      <c r="C329" s="39" t="s">
        <v>362</v>
      </c>
      <c r="D329" s="40" t="s">
        <v>276</v>
      </c>
      <c r="E329" s="40"/>
    </row>
    <row r="330" spans="1:5" ht="15.5" x14ac:dyDescent="0.35">
      <c r="A330" s="37" t="s">
        <v>374</v>
      </c>
      <c r="B330" s="38" t="s">
        <v>402</v>
      </c>
      <c r="C330" s="39" t="s">
        <v>362</v>
      </c>
      <c r="D330" s="40" t="s">
        <v>276</v>
      </c>
      <c r="E330" s="40" t="s">
        <v>284</v>
      </c>
    </row>
    <row r="331" spans="1:5" ht="15.5" x14ac:dyDescent="0.35">
      <c r="A331" s="37" t="s">
        <v>374</v>
      </c>
      <c r="B331" s="38" t="s">
        <v>403</v>
      </c>
      <c r="C331" s="39" t="s">
        <v>404</v>
      </c>
      <c r="D331" s="40" t="s">
        <v>276</v>
      </c>
      <c r="E331" s="40"/>
    </row>
    <row r="332" spans="1:5" ht="15.5" x14ac:dyDescent="0.35">
      <c r="A332" s="37" t="s">
        <v>374</v>
      </c>
      <c r="B332" s="38" t="s">
        <v>405</v>
      </c>
      <c r="C332" s="39" t="s">
        <v>404</v>
      </c>
      <c r="D332" s="40" t="s">
        <v>276</v>
      </c>
      <c r="E332" s="40" t="s">
        <v>284</v>
      </c>
    </row>
    <row r="333" spans="1:5" ht="15.5" x14ac:dyDescent="0.35">
      <c r="A333" s="37" t="s">
        <v>374</v>
      </c>
      <c r="B333" s="38" t="s">
        <v>406</v>
      </c>
      <c r="C333" s="39" t="s">
        <v>407</v>
      </c>
      <c r="D333" s="40" t="s">
        <v>276</v>
      </c>
      <c r="E333" s="40" t="s">
        <v>284</v>
      </c>
    </row>
    <row r="334" spans="1:5" ht="15.5" x14ac:dyDescent="0.35">
      <c r="A334" s="37" t="s">
        <v>374</v>
      </c>
      <c r="B334" s="38" t="s">
        <v>408</v>
      </c>
      <c r="C334" s="39" t="s">
        <v>407</v>
      </c>
      <c r="D334" s="40" t="s">
        <v>276</v>
      </c>
      <c r="E334" s="40" t="s">
        <v>284</v>
      </c>
    </row>
    <row r="335" spans="1:5" ht="15.5" x14ac:dyDescent="0.35">
      <c r="A335" s="37" t="s">
        <v>374</v>
      </c>
      <c r="B335" s="38" t="s">
        <v>409</v>
      </c>
      <c r="C335" s="39" t="s">
        <v>410</v>
      </c>
      <c r="D335" s="40" t="s">
        <v>276</v>
      </c>
      <c r="E335" s="40" t="s">
        <v>284</v>
      </c>
    </row>
    <row r="336" spans="1:5" ht="15.5" x14ac:dyDescent="0.35">
      <c r="A336" s="37" t="s">
        <v>374</v>
      </c>
      <c r="B336" s="38" t="s">
        <v>411</v>
      </c>
      <c r="C336" s="39" t="s">
        <v>410</v>
      </c>
      <c r="D336" s="40" t="s">
        <v>276</v>
      </c>
      <c r="E336" s="40" t="s">
        <v>284</v>
      </c>
    </row>
    <row r="337" spans="1:5" ht="15.5" x14ac:dyDescent="0.35">
      <c r="A337" s="37" t="s">
        <v>374</v>
      </c>
      <c r="B337" s="38" t="s">
        <v>412</v>
      </c>
      <c r="C337" s="39" t="s">
        <v>413</v>
      </c>
      <c r="D337" s="40" t="s">
        <v>276</v>
      </c>
      <c r="E337" s="40" t="s">
        <v>284</v>
      </c>
    </row>
    <row r="338" spans="1:5" ht="15.5" x14ac:dyDescent="0.35">
      <c r="A338" s="37" t="s">
        <v>374</v>
      </c>
      <c r="B338" s="38" t="s">
        <v>414</v>
      </c>
      <c r="C338" s="39" t="s">
        <v>413</v>
      </c>
      <c r="D338" s="40" t="s">
        <v>276</v>
      </c>
      <c r="E338" s="40" t="s">
        <v>284</v>
      </c>
    </row>
    <row r="339" spans="1:5" ht="15.5" x14ac:dyDescent="0.35">
      <c r="A339" s="37" t="s">
        <v>374</v>
      </c>
      <c r="B339" s="38" t="s">
        <v>415</v>
      </c>
      <c r="C339" s="39" t="s">
        <v>416</v>
      </c>
      <c r="D339" s="40" t="s">
        <v>276</v>
      </c>
      <c r="E339" s="40" t="s">
        <v>284</v>
      </c>
    </row>
    <row r="340" spans="1:5" ht="15.5" x14ac:dyDescent="0.35">
      <c r="A340" s="37" t="s">
        <v>374</v>
      </c>
      <c r="B340" s="38" t="s">
        <v>417</v>
      </c>
      <c r="C340" s="39" t="s">
        <v>416</v>
      </c>
      <c r="D340" s="40" t="s">
        <v>276</v>
      </c>
      <c r="E340" s="40" t="s">
        <v>284</v>
      </c>
    </row>
    <row r="341" spans="1:5" ht="15.5" x14ac:dyDescent="0.35">
      <c r="A341" s="37" t="s">
        <v>374</v>
      </c>
      <c r="B341" s="38" t="s">
        <v>418</v>
      </c>
      <c r="C341" s="39" t="s">
        <v>419</v>
      </c>
      <c r="D341" s="40" t="s">
        <v>276</v>
      </c>
      <c r="E341" s="40" t="s">
        <v>284</v>
      </c>
    </row>
    <row r="342" spans="1:5" ht="15.5" x14ac:dyDescent="0.35">
      <c r="A342" s="37" t="s">
        <v>374</v>
      </c>
      <c r="B342" s="38" t="s">
        <v>420</v>
      </c>
      <c r="C342" s="39" t="s">
        <v>419</v>
      </c>
      <c r="D342" s="40" t="s">
        <v>276</v>
      </c>
      <c r="E342" s="40" t="s">
        <v>284</v>
      </c>
    </row>
    <row r="343" spans="1:5" ht="15.5" x14ac:dyDescent="0.35">
      <c r="A343" s="37" t="s">
        <v>374</v>
      </c>
      <c r="B343" s="38" t="s">
        <v>421</v>
      </c>
      <c r="C343" s="39" t="s">
        <v>422</v>
      </c>
      <c r="D343" s="40" t="s">
        <v>276</v>
      </c>
      <c r="E343" s="40" t="s">
        <v>284</v>
      </c>
    </row>
    <row r="344" spans="1:5" ht="15.5" x14ac:dyDescent="0.35">
      <c r="A344" s="37" t="s">
        <v>374</v>
      </c>
      <c r="B344" s="38" t="s">
        <v>423</v>
      </c>
      <c r="C344" s="39" t="s">
        <v>422</v>
      </c>
      <c r="D344" s="40" t="s">
        <v>276</v>
      </c>
      <c r="E344" s="40" t="s">
        <v>284</v>
      </c>
    </row>
    <row r="345" spans="1:5" ht="15.5" x14ac:dyDescent="0.35">
      <c r="A345" s="37" t="s">
        <v>374</v>
      </c>
      <c r="B345" s="38" t="s">
        <v>424</v>
      </c>
      <c r="C345" s="39" t="s">
        <v>425</v>
      </c>
      <c r="D345" s="40" t="s">
        <v>276</v>
      </c>
      <c r="E345" s="40" t="s">
        <v>284</v>
      </c>
    </row>
    <row r="346" spans="1:5" ht="15.5" x14ac:dyDescent="0.35">
      <c r="A346" s="37" t="s">
        <v>374</v>
      </c>
      <c r="B346" s="38" t="s">
        <v>426</v>
      </c>
      <c r="C346" s="39" t="s">
        <v>425</v>
      </c>
      <c r="D346" s="40" t="s">
        <v>276</v>
      </c>
      <c r="E346" s="40" t="s">
        <v>284</v>
      </c>
    </row>
    <row r="347" spans="1:5" ht="15.5" x14ac:dyDescent="0.35">
      <c r="A347" s="37" t="s">
        <v>374</v>
      </c>
      <c r="B347" s="38" t="s">
        <v>427</v>
      </c>
      <c r="C347" s="39" t="s">
        <v>428</v>
      </c>
      <c r="D347" s="40" t="s">
        <v>276</v>
      </c>
      <c r="E347" s="40" t="s">
        <v>284</v>
      </c>
    </row>
    <row r="348" spans="1:5" ht="15.5" x14ac:dyDescent="0.35">
      <c r="A348" s="37" t="s">
        <v>374</v>
      </c>
      <c r="B348" s="38" t="s">
        <v>429</v>
      </c>
      <c r="C348" s="39" t="s">
        <v>428</v>
      </c>
      <c r="D348" s="40" t="s">
        <v>276</v>
      </c>
      <c r="E348" s="40" t="s">
        <v>284</v>
      </c>
    </row>
    <row r="349" spans="1:5" ht="15.5" x14ac:dyDescent="0.35">
      <c r="A349" s="37" t="s">
        <v>374</v>
      </c>
      <c r="B349" s="38" t="s">
        <v>430</v>
      </c>
      <c r="C349" s="39" t="s">
        <v>431</v>
      </c>
      <c r="D349" s="40" t="s">
        <v>276</v>
      </c>
      <c r="E349" s="40" t="s">
        <v>284</v>
      </c>
    </row>
    <row r="350" spans="1:5" ht="15.5" x14ac:dyDescent="0.35">
      <c r="A350" s="37" t="s">
        <v>374</v>
      </c>
      <c r="B350" s="38" t="s">
        <v>432</v>
      </c>
      <c r="C350" s="39" t="s">
        <v>431</v>
      </c>
      <c r="D350" s="40" t="s">
        <v>276</v>
      </c>
      <c r="E350" s="40" t="s">
        <v>284</v>
      </c>
    </row>
    <row r="351" spans="1:5" ht="15.5" x14ac:dyDescent="0.35">
      <c r="A351" s="37" t="s">
        <v>374</v>
      </c>
      <c r="B351" s="38" t="s">
        <v>433</v>
      </c>
      <c r="C351" s="39" t="s">
        <v>434</v>
      </c>
      <c r="D351" s="40" t="s">
        <v>276</v>
      </c>
      <c r="E351" s="40" t="s">
        <v>284</v>
      </c>
    </row>
    <row r="352" spans="1:5" ht="15.5" x14ac:dyDescent="0.35">
      <c r="A352" s="37" t="s">
        <v>374</v>
      </c>
      <c r="B352" s="38" t="s">
        <v>435</v>
      </c>
      <c r="C352" s="39" t="s">
        <v>434</v>
      </c>
      <c r="D352" s="40" t="s">
        <v>276</v>
      </c>
      <c r="E352" s="40" t="s">
        <v>284</v>
      </c>
    </row>
    <row r="353" spans="1:5" ht="15.5" x14ac:dyDescent="0.35">
      <c r="A353" s="37" t="s">
        <v>374</v>
      </c>
      <c r="B353" s="38" t="s">
        <v>436</v>
      </c>
      <c r="C353" s="39" t="s">
        <v>434</v>
      </c>
      <c r="D353" s="40" t="s">
        <v>276</v>
      </c>
      <c r="E353" s="40" t="s">
        <v>284</v>
      </c>
    </row>
    <row r="354" spans="1:5" ht="15.5" x14ac:dyDescent="0.35">
      <c r="A354" s="37" t="s">
        <v>374</v>
      </c>
      <c r="B354" s="38" t="s">
        <v>437</v>
      </c>
      <c r="C354" s="39" t="s">
        <v>434</v>
      </c>
      <c r="D354" s="40" t="s">
        <v>276</v>
      </c>
      <c r="E354" s="40" t="s">
        <v>284</v>
      </c>
    </row>
    <row r="355" spans="1:5" ht="15.5" x14ac:dyDescent="0.35">
      <c r="A355" s="37" t="s">
        <v>374</v>
      </c>
      <c r="B355" s="38" t="s">
        <v>438</v>
      </c>
      <c r="C355" s="39" t="s">
        <v>439</v>
      </c>
      <c r="D355" s="40" t="s">
        <v>276</v>
      </c>
      <c r="E355" s="40" t="s">
        <v>284</v>
      </c>
    </row>
    <row r="356" spans="1:5" ht="15.5" x14ac:dyDescent="0.35">
      <c r="A356" s="37" t="s">
        <v>374</v>
      </c>
      <c r="B356" s="38" t="s">
        <v>440</v>
      </c>
      <c r="C356" s="39" t="s">
        <v>439</v>
      </c>
      <c r="D356" s="40" t="s">
        <v>276</v>
      </c>
      <c r="E356" s="40" t="s">
        <v>284</v>
      </c>
    </row>
    <row r="357" spans="1:5" ht="15.5" x14ac:dyDescent="0.35">
      <c r="A357" s="37" t="s">
        <v>374</v>
      </c>
      <c r="B357" s="38" t="s">
        <v>441</v>
      </c>
      <c r="C357" s="39" t="s">
        <v>442</v>
      </c>
      <c r="D357" s="40" t="s">
        <v>276</v>
      </c>
      <c r="E357" s="40" t="s">
        <v>284</v>
      </c>
    </row>
    <row r="358" spans="1:5" ht="15.5" x14ac:dyDescent="0.35">
      <c r="A358" s="37" t="s">
        <v>374</v>
      </c>
      <c r="B358" s="38" t="s">
        <v>443</v>
      </c>
      <c r="C358" s="39" t="s">
        <v>442</v>
      </c>
      <c r="D358" s="40" t="s">
        <v>276</v>
      </c>
      <c r="E358" s="40" t="s">
        <v>284</v>
      </c>
    </row>
    <row r="359" spans="1:5" ht="15.5" x14ac:dyDescent="0.35">
      <c r="A359" s="37" t="s">
        <v>374</v>
      </c>
      <c r="B359" s="38" t="s">
        <v>444</v>
      </c>
      <c r="C359" s="39" t="s">
        <v>445</v>
      </c>
      <c r="D359" s="40" t="s">
        <v>276</v>
      </c>
      <c r="E359" s="40" t="s">
        <v>284</v>
      </c>
    </row>
    <row r="360" spans="1:5" ht="15.5" x14ac:dyDescent="0.35">
      <c r="A360" s="37" t="s">
        <v>374</v>
      </c>
      <c r="B360" s="38" t="s">
        <v>446</v>
      </c>
      <c r="C360" s="39" t="s">
        <v>445</v>
      </c>
      <c r="D360" s="40" t="s">
        <v>276</v>
      </c>
      <c r="E360" s="40" t="s">
        <v>284</v>
      </c>
    </row>
    <row r="361" spans="1:5" ht="15.5" x14ac:dyDescent="0.35">
      <c r="A361" s="37" t="s">
        <v>374</v>
      </c>
      <c r="B361" s="38" t="s">
        <v>447</v>
      </c>
      <c r="C361" s="39" t="s">
        <v>448</v>
      </c>
      <c r="D361" s="40" t="s">
        <v>276</v>
      </c>
      <c r="E361" s="40" t="s">
        <v>284</v>
      </c>
    </row>
    <row r="362" spans="1:5" ht="15.5" x14ac:dyDescent="0.35">
      <c r="A362" s="37" t="s">
        <v>374</v>
      </c>
      <c r="B362" s="38" t="s">
        <v>449</v>
      </c>
      <c r="C362" s="39" t="s">
        <v>448</v>
      </c>
      <c r="D362" s="40" t="s">
        <v>276</v>
      </c>
      <c r="E362" s="40" t="s">
        <v>284</v>
      </c>
    </row>
    <row r="363" spans="1:5" ht="15.5" x14ac:dyDescent="0.35">
      <c r="A363" s="37" t="s">
        <v>374</v>
      </c>
      <c r="B363" s="38" t="s">
        <v>450</v>
      </c>
      <c r="C363" s="39" t="s">
        <v>448</v>
      </c>
      <c r="D363" s="40" t="s">
        <v>276</v>
      </c>
      <c r="E363" s="40" t="s">
        <v>284</v>
      </c>
    </row>
    <row r="364" spans="1:5" ht="15.5" x14ac:dyDescent="0.35">
      <c r="A364" s="37" t="s">
        <v>374</v>
      </c>
      <c r="B364" s="38" t="s">
        <v>451</v>
      </c>
      <c r="C364" s="39" t="s">
        <v>448</v>
      </c>
      <c r="D364" s="40" t="s">
        <v>276</v>
      </c>
      <c r="E364" s="40" t="s">
        <v>284</v>
      </c>
    </row>
    <row r="365" spans="1:5" ht="15.5" x14ac:dyDescent="0.35">
      <c r="A365" s="37" t="s">
        <v>374</v>
      </c>
      <c r="B365" s="38" t="s">
        <v>452</v>
      </c>
      <c r="C365" s="39" t="s">
        <v>453</v>
      </c>
      <c r="D365" s="40" t="s">
        <v>276</v>
      </c>
      <c r="E365" s="40" t="s">
        <v>284</v>
      </c>
    </row>
    <row r="366" spans="1:5" ht="15.5" x14ac:dyDescent="0.35">
      <c r="A366" s="37" t="s">
        <v>374</v>
      </c>
      <c r="B366" s="38" t="s">
        <v>454</v>
      </c>
      <c r="C366" s="39" t="s">
        <v>453</v>
      </c>
      <c r="D366" s="40" t="s">
        <v>276</v>
      </c>
      <c r="E366" s="40" t="s">
        <v>284</v>
      </c>
    </row>
    <row r="367" spans="1:5" ht="15.5" x14ac:dyDescent="0.35">
      <c r="A367" s="37" t="s">
        <v>374</v>
      </c>
      <c r="B367" s="38" t="s">
        <v>455</v>
      </c>
      <c r="C367" s="39" t="s">
        <v>456</v>
      </c>
      <c r="D367" s="40" t="s">
        <v>276</v>
      </c>
      <c r="E367" s="40" t="s">
        <v>284</v>
      </c>
    </row>
    <row r="368" spans="1:5" ht="15.5" x14ac:dyDescent="0.35">
      <c r="A368" s="37" t="s">
        <v>374</v>
      </c>
      <c r="B368" s="38" t="s">
        <v>457</v>
      </c>
      <c r="C368" s="39" t="s">
        <v>456</v>
      </c>
      <c r="D368" s="40" t="s">
        <v>276</v>
      </c>
      <c r="E368" s="40" t="s">
        <v>284</v>
      </c>
    </row>
    <row r="369" spans="1:5" ht="15.5" x14ac:dyDescent="0.35">
      <c r="A369" s="37" t="s">
        <v>374</v>
      </c>
      <c r="B369" s="38" t="s">
        <v>458</v>
      </c>
      <c r="C369" s="39" t="s">
        <v>362</v>
      </c>
      <c r="D369" s="40" t="s">
        <v>227</v>
      </c>
      <c r="E369" s="40"/>
    </row>
    <row r="370" spans="1:5" ht="15.5" x14ac:dyDescent="0.35">
      <c r="A370" s="37" t="s">
        <v>374</v>
      </c>
      <c r="B370" s="38" t="s">
        <v>459</v>
      </c>
      <c r="C370" s="39" t="s">
        <v>362</v>
      </c>
      <c r="D370" s="40" t="s">
        <v>227</v>
      </c>
      <c r="E370" s="40" t="s">
        <v>284</v>
      </c>
    </row>
    <row r="371" spans="1:5" ht="15.5" x14ac:dyDescent="0.35">
      <c r="A371" s="37" t="s">
        <v>374</v>
      </c>
      <c r="B371" s="38" t="s">
        <v>460</v>
      </c>
      <c r="C371" s="39" t="s">
        <v>362</v>
      </c>
      <c r="D371" s="40" t="s">
        <v>227</v>
      </c>
      <c r="E371" s="40" t="s">
        <v>284</v>
      </c>
    </row>
    <row r="372" spans="1:5" ht="15.5" x14ac:dyDescent="0.35">
      <c r="A372" s="37" t="s">
        <v>374</v>
      </c>
      <c r="B372" s="38" t="s">
        <v>461</v>
      </c>
      <c r="C372" s="39" t="s">
        <v>362</v>
      </c>
      <c r="D372" s="40" t="s">
        <v>227</v>
      </c>
      <c r="E372" s="40" t="s">
        <v>284</v>
      </c>
    </row>
    <row r="373" spans="1:5" ht="15.5" x14ac:dyDescent="0.35">
      <c r="A373" s="37" t="s">
        <v>374</v>
      </c>
      <c r="B373" s="38" t="s">
        <v>462</v>
      </c>
      <c r="C373" s="39" t="s">
        <v>362</v>
      </c>
      <c r="D373" s="40" t="s">
        <v>227</v>
      </c>
      <c r="E373" s="40"/>
    </row>
    <row r="374" spans="1:5" ht="15.5" x14ac:dyDescent="0.35">
      <c r="A374" s="37" t="s">
        <v>374</v>
      </c>
      <c r="B374" s="38" t="s">
        <v>463</v>
      </c>
      <c r="C374" s="39" t="s">
        <v>362</v>
      </c>
      <c r="D374" s="40" t="s">
        <v>227</v>
      </c>
      <c r="E374" s="40" t="s">
        <v>284</v>
      </c>
    </row>
    <row r="375" spans="1:5" ht="15.5" x14ac:dyDescent="0.35">
      <c r="A375" s="37" t="s">
        <v>374</v>
      </c>
      <c r="B375" s="38" t="s">
        <v>372</v>
      </c>
      <c r="C375" s="39" t="s">
        <v>362</v>
      </c>
      <c r="D375" s="40" t="s">
        <v>227</v>
      </c>
      <c r="E375" s="40"/>
    </row>
    <row r="376" spans="1:5" ht="15.5" x14ac:dyDescent="0.35">
      <c r="A376" s="37" t="s">
        <v>374</v>
      </c>
      <c r="B376" s="38" t="s">
        <v>373</v>
      </c>
      <c r="C376" s="39" t="s">
        <v>362</v>
      </c>
      <c r="D376" s="40" t="s">
        <v>227</v>
      </c>
      <c r="E376" s="40" t="s">
        <v>284</v>
      </c>
    </row>
    <row r="377" spans="1:5" ht="15.5" x14ac:dyDescent="0.35">
      <c r="A377" s="37" t="s">
        <v>374</v>
      </c>
      <c r="B377" s="38" t="s">
        <v>464</v>
      </c>
      <c r="C377" s="39" t="s">
        <v>362</v>
      </c>
      <c r="D377" s="40" t="s">
        <v>227</v>
      </c>
      <c r="E377" s="40" t="s">
        <v>284</v>
      </c>
    </row>
    <row r="378" spans="1:5" ht="15.5" x14ac:dyDescent="0.35">
      <c r="A378" s="37" t="s">
        <v>374</v>
      </c>
      <c r="B378" s="38" t="s">
        <v>465</v>
      </c>
      <c r="C378" s="39" t="s">
        <v>362</v>
      </c>
      <c r="D378" s="40" t="s">
        <v>227</v>
      </c>
      <c r="E378" s="40" t="s">
        <v>284</v>
      </c>
    </row>
    <row r="379" spans="1:5" ht="15.5" x14ac:dyDescent="0.35">
      <c r="A379" s="37" t="s">
        <v>374</v>
      </c>
      <c r="B379" s="38" t="s">
        <v>466</v>
      </c>
      <c r="C379" s="39" t="s">
        <v>362</v>
      </c>
      <c r="D379" s="40" t="s">
        <v>276</v>
      </c>
      <c r="E379" s="40"/>
    </row>
    <row r="380" spans="1:5" ht="15.5" x14ac:dyDescent="0.35">
      <c r="A380" s="37" t="s">
        <v>374</v>
      </c>
      <c r="B380" s="38" t="s">
        <v>467</v>
      </c>
      <c r="C380" s="39" t="s">
        <v>362</v>
      </c>
      <c r="D380" s="40" t="s">
        <v>276</v>
      </c>
      <c r="E380" s="40"/>
    </row>
    <row r="381" spans="1:5" ht="15.5" x14ac:dyDescent="0.35">
      <c r="A381" s="37" t="s">
        <v>374</v>
      </c>
      <c r="B381" s="38">
        <v>112</v>
      </c>
      <c r="C381" s="39" t="s">
        <v>362</v>
      </c>
      <c r="D381" s="40" t="s">
        <v>227</v>
      </c>
      <c r="E381" s="40"/>
    </row>
    <row r="382" spans="1:5" ht="15.5" x14ac:dyDescent="0.35">
      <c r="A382" s="37" t="s">
        <v>468</v>
      </c>
      <c r="B382" s="38" t="s">
        <v>469</v>
      </c>
      <c r="C382" s="39" t="s">
        <v>470</v>
      </c>
      <c r="D382" s="40" t="s">
        <v>266</v>
      </c>
      <c r="E382" s="40"/>
    </row>
    <row r="383" spans="1:5" ht="15.5" x14ac:dyDescent="0.35">
      <c r="A383" s="37" t="s">
        <v>468</v>
      </c>
      <c r="B383" s="38" t="s">
        <v>471</v>
      </c>
      <c r="C383" s="39" t="s">
        <v>470</v>
      </c>
      <c r="D383" s="40" t="s">
        <v>266</v>
      </c>
      <c r="E383" s="40"/>
    </row>
    <row r="384" spans="1:5" ht="15.5" x14ac:dyDescent="0.35">
      <c r="A384" s="37" t="s">
        <v>468</v>
      </c>
      <c r="B384" s="38" t="s">
        <v>472</v>
      </c>
      <c r="C384" s="39" t="s">
        <v>470</v>
      </c>
      <c r="D384" s="40" t="s">
        <v>266</v>
      </c>
      <c r="E384" s="40"/>
    </row>
    <row r="385" spans="1:5" ht="15.5" x14ac:dyDescent="0.35">
      <c r="A385" s="37" t="s">
        <v>468</v>
      </c>
      <c r="B385" s="38" t="s">
        <v>473</v>
      </c>
      <c r="C385" s="39" t="s">
        <v>470</v>
      </c>
      <c r="D385" s="40" t="s">
        <v>266</v>
      </c>
      <c r="E385" s="40"/>
    </row>
    <row r="386" spans="1:5" ht="15.5" x14ac:dyDescent="0.35">
      <c r="A386" s="37" t="s">
        <v>468</v>
      </c>
      <c r="B386" s="38" t="s">
        <v>474</v>
      </c>
      <c r="C386" s="39" t="s">
        <v>470</v>
      </c>
      <c r="D386" s="40" t="s">
        <v>266</v>
      </c>
      <c r="E386" s="40"/>
    </row>
    <row r="387" spans="1:5" ht="15.5" x14ac:dyDescent="0.35">
      <c r="A387" s="37" t="s">
        <v>468</v>
      </c>
      <c r="B387" s="38" t="s">
        <v>475</v>
      </c>
      <c r="C387" s="39" t="s">
        <v>470</v>
      </c>
      <c r="D387" s="40" t="s">
        <v>266</v>
      </c>
      <c r="E387" s="40"/>
    </row>
    <row r="388" spans="1:5" ht="15.5" x14ac:dyDescent="0.35">
      <c r="A388" s="37" t="s">
        <v>468</v>
      </c>
      <c r="B388" s="38" t="s">
        <v>476</v>
      </c>
      <c r="C388" s="39" t="s">
        <v>470</v>
      </c>
      <c r="D388" s="40" t="s">
        <v>266</v>
      </c>
      <c r="E388" s="40"/>
    </row>
    <row r="389" spans="1:5" ht="15.5" x14ac:dyDescent="0.35">
      <c r="A389" s="37" t="s">
        <v>468</v>
      </c>
      <c r="B389" s="38" t="s">
        <v>477</v>
      </c>
      <c r="C389" s="39" t="s">
        <v>470</v>
      </c>
      <c r="D389" s="40" t="s">
        <v>266</v>
      </c>
      <c r="E389" s="40"/>
    </row>
    <row r="390" spans="1:5" ht="15.5" x14ac:dyDescent="0.35">
      <c r="A390" s="37" t="s">
        <v>468</v>
      </c>
      <c r="B390" s="38" t="s">
        <v>478</v>
      </c>
      <c r="C390" s="39" t="s">
        <v>470</v>
      </c>
      <c r="D390" s="40" t="s">
        <v>266</v>
      </c>
      <c r="E390" s="40"/>
    </row>
    <row r="391" spans="1:5" ht="15.5" x14ac:dyDescent="0.35">
      <c r="A391" s="37" t="s">
        <v>468</v>
      </c>
      <c r="B391" s="38" t="s">
        <v>479</v>
      </c>
      <c r="C391" s="39" t="s">
        <v>470</v>
      </c>
      <c r="D391" s="40" t="s">
        <v>266</v>
      </c>
      <c r="E391" s="40"/>
    </row>
    <row r="392" spans="1:5" ht="15.5" x14ac:dyDescent="0.35">
      <c r="A392" s="37" t="s">
        <v>468</v>
      </c>
      <c r="B392" s="38" t="s">
        <v>480</v>
      </c>
      <c r="C392" s="39" t="s">
        <v>470</v>
      </c>
      <c r="D392" s="40" t="s">
        <v>266</v>
      </c>
      <c r="E392" s="40"/>
    </row>
    <row r="393" spans="1:5" ht="15.5" x14ac:dyDescent="0.35">
      <c r="A393" s="37" t="s">
        <v>468</v>
      </c>
      <c r="B393" s="38" t="s">
        <v>481</v>
      </c>
      <c r="C393" s="39" t="s">
        <v>470</v>
      </c>
      <c r="D393" s="40" t="s">
        <v>266</v>
      </c>
      <c r="E393" s="40"/>
    </row>
    <row r="394" spans="1:5" ht="15.5" x14ac:dyDescent="0.35">
      <c r="A394" s="37" t="s">
        <v>468</v>
      </c>
      <c r="B394" s="38" t="s">
        <v>482</v>
      </c>
      <c r="C394" s="39" t="s">
        <v>470</v>
      </c>
      <c r="D394" s="40" t="s">
        <v>266</v>
      </c>
      <c r="E394" s="40"/>
    </row>
    <row r="395" spans="1:5" ht="15.5" x14ac:dyDescent="0.35">
      <c r="A395" s="37" t="s">
        <v>468</v>
      </c>
      <c r="B395" s="38" t="s">
        <v>483</v>
      </c>
      <c r="C395" s="39" t="s">
        <v>470</v>
      </c>
      <c r="D395" s="40" t="s">
        <v>266</v>
      </c>
      <c r="E395" s="40"/>
    </row>
    <row r="396" spans="1:5" ht="15.5" x14ac:dyDescent="0.35">
      <c r="A396" s="37" t="s">
        <v>468</v>
      </c>
      <c r="B396" s="38" t="s">
        <v>484</v>
      </c>
      <c r="C396" s="39" t="s">
        <v>470</v>
      </c>
      <c r="D396" s="40" t="s">
        <v>266</v>
      </c>
      <c r="E396" s="40"/>
    </row>
    <row r="397" spans="1:5" ht="15.5" x14ac:dyDescent="0.35">
      <c r="A397" s="37" t="s">
        <v>468</v>
      </c>
      <c r="B397" s="38" t="s">
        <v>485</v>
      </c>
      <c r="C397" s="39" t="s">
        <v>470</v>
      </c>
      <c r="D397" s="40" t="s">
        <v>266</v>
      </c>
      <c r="E397" s="40"/>
    </row>
    <row r="398" spans="1:5" ht="15.5" x14ac:dyDescent="0.35">
      <c r="A398" s="37" t="s">
        <v>468</v>
      </c>
      <c r="B398" s="38" t="s">
        <v>486</v>
      </c>
      <c r="C398" s="39" t="s">
        <v>470</v>
      </c>
      <c r="D398" s="40" t="s">
        <v>266</v>
      </c>
      <c r="E398" s="40"/>
    </row>
    <row r="399" spans="1:5" ht="15.5" x14ac:dyDescent="0.35">
      <c r="A399" s="37" t="s">
        <v>468</v>
      </c>
      <c r="B399" s="38" t="s">
        <v>487</v>
      </c>
      <c r="C399" s="39" t="s">
        <v>470</v>
      </c>
      <c r="D399" s="40" t="s">
        <v>266</v>
      </c>
      <c r="E399" s="40"/>
    </row>
    <row r="400" spans="1:5" ht="15.5" x14ac:dyDescent="0.35">
      <c r="A400" s="37" t="s">
        <v>468</v>
      </c>
      <c r="B400" s="38" t="s">
        <v>488</v>
      </c>
      <c r="C400" s="39" t="s">
        <v>470</v>
      </c>
      <c r="D400" s="40" t="s">
        <v>266</v>
      </c>
      <c r="E400" s="40"/>
    </row>
    <row r="401" spans="1:5" ht="15.5" x14ac:dyDescent="0.35">
      <c r="A401" s="37" t="s">
        <v>468</v>
      </c>
      <c r="B401" s="38" t="s">
        <v>489</v>
      </c>
      <c r="C401" s="39" t="s">
        <v>470</v>
      </c>
      <c r="D401" s="40" t="s">
        <v>266</v>
      </c>
      <c r="E401" s="40"/>
    </row>
    <row r="402" spans="1:5" ht="15.5" x14ac:dyDescent="0.35">
      <c r="A402" s="37" t="s">
        <v>468</v>
      </c>
      <c r="B402" s="38" t="s">
        <v>490</v>
      </c>
      <c r="C402" s="39" t="s">
        <v>470</v>
      </c>
      <c r="D402" s="40" t="s">
        <v>266</v>
      </c>
      <c r="E402" s="40"/>
    </row>
    <row r="403" spans="1:5" ht="15.5" x14ac:dyDescent="0.35">
      <c r="A403" s="37" t="s">
        <v>468</v>
      </c>
      <c r="B403" s="38" t="s">
        <v>491</v>
      </c>
      <c r="C403" s="39" t="s">
        <v>470</v>
      </c>
      <c r="D403" s="40" t="s">
        <v>266</v>
      </c>
      <c r="E403" s="40"/>
    </row>
    <row r="404" spans="1:5" ht="15.5" x14ac:dyDescent="0.35">
      <c r="A404" s="37" t="s">
        <v>468</v>
      </c>
      <c r="B404" s="38" t="s">
        <v>492</v>
      </c>
      <c r="C404" s="39" t="s">
        <v>470</v>
      </c>
      <c r="D404" s="40" t="s">
        <v>266</v>
      </c>
      <c r="E404" s="40"/>
    </row>
    <row r="405" spans="1:5" ht="15.5" x14ac:dyDescent="0.35">
      <c r="A405" s="37" t="s">
        <v>468</v>
      </c>
      <c r="B405" s="38" t="s">
        <v>493</v>
      </c>
      <c r="C405" s="39" t="s">
        <v>470</v>
      </c>
      <c r="D405" s="40" t="s">
        <v>266</v>
      </c>
      <c r="E405" s="40"/>
    </row>
    <row r="406" spans="1:5" ht="15.5" x14ac:dyDescent="0.35">
      <c r="A406" s="37" t="s">
        <v>468</v>
      </c>
      <c r="B406" s="38" t="s">
        <v>28</v>
      </c>
      <c r="C406" s="39" t="s">
        <v>470</v>
      </c>
      <c r="D406" s="40" t="s">
        <v>266</v>
      </c>
      <c r="E406" s="40"/>
    </row>
    <row r="407" spans="1:5" ht="15.5" x14ac:dyDescent="0.35">
      <c r="A407" s="37" t="s">
        <v>468</v>
      </c>
      <c r="B407" s="38" t="s">
        <v>32</v>
      </c>
      <c r="C407" s="39" t="s">
        <v>470</v>
      </c>
      <c r="D407" s="40" t="s">
        <v>266</v>
      </c>
      <c r="E407" s="40"/>
    </row>
    <row r="408" spans="1:5" ht="15.5" x14ac:dyDescent="0.35">
      <c r="A408" s="37" t="s">
        <v>468</v>
      </c>
      <c r="B408" s="38" t="s">
        <v>494</v>
      </c>
      <c r="C408" s="39" t="s">
        <v>470</v>
      </c>
      <c r="D408" s="40" t="s">
        <v>266</v>
      </c>
      <c r="E408" s="40"/>
    </row>
    <row r="409" spans="1:5" ht="15.5" x14ac:dyDescent="0.35">
      <c r="A409" s="37" t="s">
        <v>468</v>
      </c>
      <c r="B409" s="38" t="s">
        <v>495</v>
      </c>
      <c r="C409" s="39" t="s">
        <v>470</v>
      </c>
      <c r="D409" s="40" t="s">
        <v>266</v>
      </c>
      <c r="E409" s="40"/>
    </row>
    <row r="410" spans="1:5" ht="15.5" x14ac:dyDescent="0.35">
      <c r="A410" s="37" t="s">
        <v>468</v>
      </c>
      <c r="B410" s="38" t="s">
        <v>496</v>
      </c>
      <c r="C410" s="39" t="s">
        <v>470</v>
      </c>
      <c r="D410" s="40" t="s">
        <v>266</v>
      </c>
      <c r="E410" s="40"/>
    </row>
    <row r="411" spans="1:5" ht="15.5" x14ac:dyDescent="0.35">
      <c r="A411" s="37" t="s">
        <v>468</v>
      </c>
      <c r="B411" s="38" t="s">
        <v>497</v>
      </c>
      <c r="C411" s="39" t="s">
        <v>470</v>
      </c>
      <c r="D411" s="40" t="s">
        <v>266</v>
      </c>
      <c r="E411" s="40"/>
    </row>
    <row r="412" spans="1:5" ht="15.5" x14ac:dyDescent="0.35">
      <c r="A412" s="37" t="s">
        <v>468</v>
      </c>
      <c r="B412" s="38" t="s">
        <v>498</v>
      </c>
      <c r="C412" s="39" t="s">
        <v>470</v>
      </c>
      <c r="D412" s="40" t="s">
        <v>266</v>
      </c>
      <c r="E412" s="40"/>
    </row>
    <row r="413" spans="1:5" ht="15.5" x14ac:dyDescent="0.35">
      <c r="A413" s="37" t="s">
        <v>468</v>
      </c>
      <c r="B413" s="38" t="s">
        <v>499</v>
      </c>
      <c r="C413" s="39" t="s">
        <v>470</v>
      </c>
      <c r="D413" s="40" t="s">
        <v>266</v>
      </c>
      <c r="E413" s="40"/>
    </row>
    <row r="414" spans="1:5" ht="15.5" x14ac:dyDescent="0.35">
      <c r="A414" s="37" t="s">
        <v>468</v>
      </c>
      <c r="B414" s="38" t="s">
        <v>500</v>
      </c>
      <c r="C414" s="39" t="s">
        <v>470</v>
      </c>
      <c r="D414" s="40" t="s">
        <v>266</v>
      </c>
      <c r="E414" s="40"/>
    </row>
    <row r="415" spans="1:5" ht="15.5" x14ac:dyDescent="0.35">
      <c r="A415" s="37" t="s">
        <v>468</v>
      </c>
      <c r="B415" s="38" t="s">
        <v>501</v>
      </c>
      <c r="C415" s="39" t="s">
        <v>470</v>
      </c>
      <c r="D415" s="40" t="s">
        <v>266</v>
      </c>
      <c r="E415" s="40"/>
    </row>
    <row r="416" spans="1:5" ht="15.5" x14ac:dyDescent="0.35">
      <c r="A416" s="37" t="s">
        <v>468</v>
      </c>
      <c r="B416" s="38" t="s">
        <v>502</v>
      </c>
      <c r="C416" s="39" t="s">
        <v>470</v>
      </c>
      <c r="D416" s="40" t="s">
        <v>266</v>
      </c>
      <c r="E416" s="40"/>
    </row>
    <row r="417" spans="1:5" ht="15.5" x14ac:dyDescent="0.35">
      <c r="A417" s="37" t="s">
        <v>468</v>
      </c>
      <c r="B417" s="38" t="s">
        <v>503</v>
      </c>
      <c r="C417" s="39" t="s">
        <v>470</v>
      </c>
      <c r="D417" s="40" t="s">
        <v>266</v>
      </c>
      <c r="E417" s="40"/>
    </row>
    <row r="418" spans="1:5" ht="15.5" x14ac:dyDescent="0.35">
      <c r="A418" s="37" t="s">
        <v>468</v>
      </c>
      <c r="B418" s="38" t="s">
        <v>504</v>
      </c>
      <c r="C418" s="39" t="s">
        <v>470</v>
      </c>
      <c r="D418" s="40" t="s">
        <v>266</v>
      </c>
      <c r="E418" s="40"/>
    </row>
    <row r="419" spans="1:5" ht="15.5" x14ac:dyDescent="0.35">
      <c r="A419" s="37" t="s">
        <v>468</v>
      </c>
      <c r="B419" s="38" t="s">
        <v>505</v>
      </c>
      <c r="C419" s="39" t="s">
        <v>470</v>
      </c>
      <c r="D419" s="40" t="s">
        <v>266</v>
      </c>
      <c r="E419" s="40"/>
    </row>
    <row r="420" spans="1:5" ht="15.5" x14ac:dyDescent="0.35">
      <c r="A420" s="37" t="s">
        <v>468</v>
      </c>
      <c r="B420" s="38" t="s">
        <v>506</v>
      </c>
      <c r="C420" s="39" t="s">
        <v>470</v>
      </c>
      <c r="D420" s="40" t="s">
        <v>266</v>
      </c>
      <c r="E420" s="40"/>
    </row>
    <row r="421" spans="1:5" ht="15.5" x14ac:dyDescent="0.35">
      <c r="A421" s="37" t="s">
        <v>468</v>
      </c>
      <c r="B421" s="38" t="s">
        <v>507</v>
      </c>
      <c r="C421" s="39" t="s">
        <v>470</v>
      </c>
      <c r="D421" s="40" t="s">
        <v>266</v>
      </c>
      <c r="E421" s="40"/>
    </row>
    <row r="422" spans="1:5" ht="15.5" x14ac:dyDescent="0.35">
      <c r="A422" s="37" t="s">
        <v>468</v>
      </c>
      <c r="B422" s="38" t="s">
        <v>508</v>
      </c>
      <c r="C422" s="39" t="s">
        <v>470</v>
      </c>
      <c r="D422" s="40" t="s">
        <v>266</v>
      </c>
      <c r="E422" s="40"/>
    </row>
    <row r="423" spans="1:5" ht="15.5" x14ac:dyDescent="0.35">
      <c r="A423" s="37" t="s">
        <v>468</v>
      </c>
      <c r="B423" s="38" t="s">
        <v>509</v>
      </c>
      <c r="C423" s="39" t="s">
        <v>470</v>
      </c>
      <c r="D423" s="40" t="s">
        <v>266</v>
      </c>
      <c r="E423" s="40"/>
    </row>
    <row r="424" spans="1:5" ht="15.5" x14ac:dyDescent="0.35">
      <c r="A424" s="37" t="s">
        <v>468</v>
      </c>
      <c r="B424" s="38" t="s">
        <v>510</v>
      </c>
      <c r="C424" s="39" t="s">
        <v>470</v>
      </c>
      <c r="D424" s="40" t="s">
        <v>266</v>
      </c>
      <c r="E424" s="40"/>
    </row>
    <row r="425" spans="1:5" ht="15.5" x14ac:dyDescent="0.35">
      <c r="A425" s="37" t="s">
        <v>468</v>
      </c>
      <c r="B425" s="38" t="s">
        <v>511</v>
      </c>
      <c r="C425" s="39" t="s">
        <v>470</v>
      </c>
      <c r="D425" s="40" t="s">
        <v>266</v>
      </c>
      <c r="E425" s="40"/>
    </row>
    <row r="426" spans="1:5" ht="15.5" x14ac:dyDescent="0.35">
      <c r="A426" s="37" t="s">
        <v>468</v>
      </c>
      <c r="B426" s="38" t="s">
        <v>512</v>
      </c>
      <c r="C426" s="39" t="s">
        <v>470</v>
      </c>
      <c r="D426" s="40" t="s">
        <v>266</v>
      </c>
      <c r="E426" s="40"/>
    </row>
    <row r="427" spans="1:5" ht="15.5" x14ac:dyDescent="0.35">
      <c r="A427" s="37" t="s">
        <v>468</v>
      </c>
      <c r="B427" s="38" t="s">
        <v>513</v>
      </c>
      <c r="C427" s="39" t="s">
        <v>470</v>
      </c>
      <c r="D427" s="40" t="s">
        <v>266</v>
      </c>
      <c r="E427" s="40"/>
    </row>
    <row r="428" spans="1:5" ht="15.5" x14ac:dyDescent="0.35">
      <c r="A428" s="37" t="s">
        <v>468</v>
      </c>
      <c r="B428" s="38" t="s">
        <v>514</v>
      </c>
      <c r="C428" s="39" t="s">
        <v>470</v>
      </c>
      <c r="D428" s="40" t="s">
        <v>266</v>
      </c>
      <c r="E428" s="40"/>
    </row>
    <row r="429" spans="1:5" ht="15.5" x14ac:dyDescent="0.35">
      <c r="A429" s="37" t="s">
        <v>468</v>
      </c>
      <c r="B429" s="38" t="s">
        <v>515</v>
      </c>
      <c r="C429" s="39" t="s">
        <v>470</v>
      </c>
      <c r="D429" s="40" t="s">
        <v>266</v>
      </c>
      <c r="E429" s="40"/>
    </row>
    <row r="430" spans="1:5" ht="15.5" x14ac:dyDescent="0.35">
      <c r="A430" s="37" t="s">
        <v>468</v>
      </c>
      <c r="B430" s="38" t="s">
        <v>516</v>
      </c>
      <c r="C430" s="39" t="s">
        <v>470</v>
      </c>
      <c r="D430" s="40" t="s">
        <v>266</v>
      </c>
      <c r="E430" s="40"/>
    </row>
    <row r="431" spans="1:5" ht="15.5" x14ac:dyDescent="0.35">
      <c r="A431" s="37" t="s">
        <v>468</v>
      </c>
      <c r="B431" s="38" t="s">
        <v>517</v>
      </c>
      <c r="C431" s="39" t="s">
        <v>470</v>
      </c>
      <c r="D431" s="40" t="s">
        <v>266</v>
      </c>
      <c r="E431" s="40"/>
    </row>
    <row r="432" spans="1:5" ht="15.5" x14ac:dyDescent="0.35">
      <c r="A432" s="37" t="s">
        <v>468</v>
      </c>
      <c r="B432" s="38" t="s">
        <v>518</v>
      </c>
      <c r="C432" s="39" t="s">
        <v>470</v>
      </c>
      <c r="D432" s="40" t="s">
        <v>266</v>
      </c>
      <c r="E432" s="40"/>
    </row>
    <row r="433" spans="1:5" ht="15.5" x14ac:dyDescent="0.35">
      <c r="A433" s="37" t="s">
        <v>468</v>
      </c>
      <c r="B433" s="38" t="s">
        <v>519</v>
      </c>
      <c r="C433" s="39" t="s">
        <v>470</v>
      </c>
      <c r="D433" s="40" t="s">
        <v>266</v>
      </c>
      <c r="E433" s="40"/>
    </row>
    <row r="434" spans="1:5" ht="15.5" x14ac:dyDescent="0.35">
      <c r="A434" s="37" t="s">
        <v>468</v>
      </c>
      <c r="B434" s="38" t="s">
        <v>520</v>
      </c>
      <c r="C434" s="39" t="s">
        <v>470</v>
      </c>
      <c r="D434" s="40" t="s">
        <v>266</v>
      </c>
      <c r="E434" s="40"/>
    </row>
    <row r="435" spans="1:5" ht="15.5" x14ac:dyDescent="0.35">
      <c r="A435" s="37" t="s">
        <v>468</v>
      </c>
      <c r="B435" s="38" t="s">
        <v>521</v>
      </c>
      <c r="C435" s="39" t="s">
        <v>470</v>
      </c>
      <c r="D435" s="40" t="s">
        <v>266</v>
      </c>
      <c r="E435" s="40"/>
    </row>
    <row r="436" spans="1:5" ht="15.5" x14ac:dyDescent="0.35">
      <c r="A436" s="37" t="s">
        <v>468</v>
      </c>
      <c r="B436" s="38" t="s">
        <v>522</v>
      </c>
      <c r="C436" s="39" t="s">
        <v>470</v>
      </c>
      <c r="D436" s="40" t="s">
        <v>266</v>
      </c>
      <c r="E436" s="40"/>
    </row>
    <row r="437" spans="1:5" ht="15.5" x14ac:dyDescent="0.35">
      <c r="A437" s="37" t="s">
        <v>468</v>
      </c>
      <c r="B437" s="38" t="s">
        <v>523</v>
      </c>
      <c r="C437" s="39" t="s">
        <v>470</v>
      </c>
      <c r="D437" s="40" t="s">
        <v>266</v>
      </c>
      <c r="E437" s="40"/>
    </row>
    <row r="438" spans="1:5" ht="15.5" x14ac:dyDescent="0.35">
      <c r="A438" s="37" t="s">
        <v>468</v>
      </c>
      <c r="B438" s="38" t="s">
        <v>524</v>
      </c>
      <c r="C438" s="39" t="s">
        <v>470</v>
      </c>
      <c r="D438" s="40" t="s">
        <v>266</v>
      </c>
      <c r="E438" s="40"/>
    </row>
    <row r="439" spans="1:5" ht="15.5" x14ac:dyDescent="0.35">
      <c r="A439" s="37" t="s">
        <v>468</v>
      </c>
      <c r="B439" s="38" t="s">
        <v>525</v>
      </c>
      <c r="C439" s="39" t="s">
        <v>470</v>
      </c>
      <c r="D439" s="40" t="s">
        <v>266</v>
      </c>
      <c r="E439" s="40"/>
    </row>
    <row r="440" spans="1:5" ht="15.5" x14ac:dyDescent="0.35">
      <c r="A440" s="37" t="s">
        <v>468</v>
      </c>
      <c r="B440" s="38" t="s">
        <v>526</v>
      </c>
      <c r="C440" s="39" t="s">
        <v>470</v>
      </c>
      <c r="D440" s="40" t="s">
        <v>266</v>
      </c>
      <c r="E440" s="40"/>
    </row>
    <row r="441" spans="1:5" ht="15.5" x14ac:dyDescent="0.35">
      <c r="A441" s="37" t="s">
        <v>468</v>
      </c>
      <c r="B441" s="38" t="s">
        <v>527</v>
      </c>
      <c r="C441" s="39" t="s">
        <v>470</v>
      </c>
      <c r="D441" s="40" t="s">
        <v>266</v>
      </c>
      <c r="E441" s="40"/>
    </row>
    <row r="442" spans="1:5" ht="15.5" x14ac:dyDescent="0.35">
      <c r="A442" s="37" t="s">
        <v>468</v>
      </c>
      <c r="B442" s="38" t="s">
        <v>528</v>
      </c>
      <c r="C442" s="39" t="s">
        <v>470</v>
      </c>
      <c r="D442" s="40" t="s">
        <v>266</v>
      </c>
      <c r="E442" s="40"/>
    </row>
    <row r="443" spans="1:5" ht="15.5" x14ac:dyDescent="0.35">
      <c r="A443" s="37" t="s">
        <v>468</v>
      </c>
      <c r="B443" s="38" t="s">
        <v>529</v>
      </c>
      <c r="C443" s="39" t="s">
        <v>470</v>
      </c>
      <c r="D443" s="40" t="s">
        <v>266</v>
      </c>
      <c r="E443" s="40"/>
    </row>
    <row r="444" spans="1:5" ht="15.5" x14ac:dyDescent="0.35">
      <c r="A444" s="37" t="s">
        <v>468</v>
      </c>
      <c r="B444" s="38" t="s">
        <v>530</v>
      </c>
      <c r="C444" s="39" t="s">
        <v>470</v>
      </c>
      <c r="D444" s="40" t="s">
        <v>266</v>
      </c>
      <c r="E444" s="40"/>
    </row>
    <row r="445" spans="1:5" ht="15.5" x14ac:dyDescent="0.35">
      <c r="A445" s="37" t="s">
        <v>468</v>
      </c>
      <c r="B445" s="38" t="s">
        <v>531</v>
      </c>
      <c r="C445" s="39" t="s">
        <v>470</v>
      </c>
      <c r="D445" s="40" t="s">
        <v>266</v>
      </c>
      <c r="E445" s="40"/>
    </row>
    <row r="446" spans="1:5" ht="15.5" x14ac:dyDescent="0.35">
      <c r="A446" s="37" t="s">
        <v>468</v>
      </c>
      <c r="B446" s="38" t="s">
        <v>532</v>
      </c>
      <c r="C446" s="39" t="s">
        <v>2</v>
      </c>
      <c r="D446" s="40" t="s">
        <v>2</v>
      </c>
      <c r="E446" s="40" t="s">
        <v>303</v>
      </c>
    </row>
    <row r="447" spans="1:5" ht="15.5" x14ac:dyDescent="0.35">
      <c r="A447" s="37" t="s">
        <v>468</v>
      </c>
      <c r="B447" s="38" t="s">
        <v>533</v>
      </c>
      <c r="C447" s="39" t="s">
        <v>2</v>
      </c>
      <c r="D447" s="40" t="s">
        <v>2</v>
      </c>
      <c r="E447" s="40" t="s">
        <v>303</v>
      </c>
    </row>
    <row r="448" spans="1:5" ht="15.5" x14ac:dyDescent="0.35">
      <c r="A448" s="37" t="s">
        <v>468</v>
      </c>
      <c r="B448" s="38" t="s">
        <v>534</v>
      </c>
      <c r="C448" s="39" t="s">
        <v>2</v>
      </c>
      <c r="D448" s="40" t="s">
        <v>2</v>
      </c>
      <c r="E448" s="40" t="s">
        <v>303</v>
      </c>
    </row>
    <row r="449" spans="1:5" ht="15.5" x14ac:dyDescent="0.35">
      <c r="A449" s="37" t="s">
        <v>468</v>
      </c>
      <c r="B449" s="38" t="s">
        <v>535</v>
      </c>
      <c r="C449" s="39" t="s">
        <v>2</v>
      </c>
      <c r="D449" s="40" t="s">
        <v>2</v>
      </c>
      <c r="E449" s="40" t="s">
        <v>303</v>
      </c>
    </row>
    <row r="450" spans="1:5" ht="15.5" x14ac:dyDescent="0.35">
      <c r="A450" s="37" t="s">
        <v>468</v>
      </c>
      <c r="B450" s="38" t="s">
        <v>536</v>
      </c>
      <c r="C450" s="39" t="s">
        <v>2</v>
      </c>
      <c r="D450" s="40" t="s">
        <v>2</v>
      </c>
      <c r="E450" s="40" t="s">
        <v>303</v>
      </c>
    </row>
    <row r="451" spans="1:5" ht="15.5" x14ac:dyDescent="0.35">
      <c r="A451" s="37" t="s">
        <v>468</v>
      </c>
      <c r="B451" s="38" t="s">
        <v>537</v>
      </c>
      <c r="C451" s="39" t="s">
        <v>2</v>
      </c>
      <c r="D451" s="40" t="s">
        <v>2</v>
      </c>
      <c r="E451" s="40" t="s">
        <v>303</v>
      </c>
    </row>
    <row r="452" spans="1:5" ht="15.5" x14ac:dyDescent="0.35">
      <c r="A452" s="37" t="s">
        <v>468</v>
      </c>
      <c r="B452" s="38" t="s">
        <v>538</v>
      </c>
      <c r="C452" s="39" t="s">
        <v>2</v>
      </c>
      <c r="D452" s="40" t="s">
        <v>2</v>
      </c>
      <c r="E452" s="40" t="s">
        <v>303</v>
      </c>
    </row>
    <row r="453" spans="1:5" ht="15.5" x14ac:dyDescent="0.35">
      <c r="A453" s="37" t="s">
        <v>468</v>
      </c>
      <c r="B453" s="38" t="s">
        <v>539</v>
      </c>
      <c r="C453" s="39" t="s">
        <v>2</v>
      </c>
      <c r="D453" s="40" t="s">
        <v>2</v>
      </c>
      <c r="E453" s="40" t="s">
        <v>303</v>
      </c>
    </row>
    <row r="454" spans="1:5" ht="15.5" x14ac:dyDescent="0.35">
      <c r="A454" s="37" t="s">
        <v>468</v>
      </c>
      <c r="B454" s="38" t="s">
        <v>540</v>
      </c>
      <c r="C454" s="39" t="s">
        <v>2</v>
      </c>
      <c r="D454" s="40" t="s">
        <v>2</v>
      </c>
      <c r="E454" s="40" t="s">
        <v>303</v>
      </c>
    </row>
    <row r="455" spans="1:5" ht="15.5" x14ac:dyDescent="0.35">
      <c r="A455" s="37" t="s">
        <v>468</v>
      </c>
      <c r="B455" s="38" t="s">
        <v>541</v>
      </c>
      <c r="C455" s="39" t="s">
        <v>470</v>
      </c>
      <c r="D455" s="40" t="s">
        <v>266</v>
      </c>
      <c r="E455" s="40"/>
    </row>
    <row r="456" spans="1:5" ht="15.5" x14ac:dyDescent="0.35">
      <c r="A456" s="37" t="s">
        <v>468</v>
      </c>
      <c r="B456" s="38" t="s">
        <v>542</v>
      </c>
      <c r="C456" s="39" t="s">
        <v>470</v>
      </c>
      <c r="D456" s="40" t="s">
        <v>266</v>
      </c>
      <c r="E456" s="40"/>
    </row>
    <row r="457" spans="1:5" ht="15.5" x14ac:dyDescent="0.35">
      <c r="A457" s="37" t="s">
        <v>468</v>
      </c>
      <c r="B457" s="38" t="s">
        <v>543</v>
      </c>
      <c r="C457" s="39" t="s">
        <v>470</v>
      </c>
      <c r="D457" s="40" t="s">
        <v>266</v>
      </c>
      <c r="E457" s="40"/>
    </row>
    <row r="458" spans="1:5" ht="15.5" x14ac:dyDescent="0.35">
      <c r="A458" s="37" t="s">
        <v>468</v>
      </c>
      <c r="B458" s="38" t="s">
        <v>544</v>
      </c>
      <c r="C458" s="39" t="s">
        <v>470</v>
      </c>
      <c r="D458" s="40" t="s">
        <v>266</v>
      </c>
      <c r="E458" s="40"/>
    </row>
    <row r="459" spans="1:5" ht="15.5" x14ac:dyDescent="0.35">
      <c r="A459" s="37" t="s">
        <v>468</v>
      </c>
      <c r="B459" s="38" t="s">
        <v>545</v>
      </c>
      <c r="C459" s="39" t="s">
        <v>470</v>
      </c>
      <c r="D459" s="40" t="s">
        <v>266</v>
      </c>
      <c r="E459" s="40"/>
    </row>
    <row r="460" spans="1:5" ht="15.5" x14ac:dyDescent="0.35">
      <c r="A460" s="37" t="s">
        <v>468</v>
      </c>
      <c r="B460" s="38" t="s">
        <v>546</v>
      </c>
      <c r="C460" s="39" t="s">
        <v>470</v>
      </c>
      <c r="D460" s="40" t="s">
        <v>266</v>
      </c>
      <c r="E460" s="40"/>
    </row>
    <row r="461" spans="1:5" ht="15.5" x14ac:dyDescent="0.35">
      <c r="A461" s="37" t="s">
        <v>468</v>
      </c>
      <c r="B461" s="38" t="s">
        <v>547</v>
      </c>
      <c r="C461" s="39" t="s">
        <v>470</v>
      </c>
      <c r="D461" s="40" t="s">
        <v>266</v>
      </c>
      <c r="E461" s="40"/>
    </row>
    <row r="462" spans="1:5" ht="15.5" x14ac:dyDescent="0.35">
      <c r="A462" s="37" t="s">
        <v>468</v>
      </c>
      <c r="B462" s="38" t="s">
        <v>548</v>
      </c>
      <c r="C462" s="39" t="s">
        <v>470</v>
      </c>
      <c r="D462" s="40" t="s">
        <v>266</v>
      </c>
      <c r="E462" s="40"/>
    </row>
    <row r="463" spans="1:5" ht="15.5" x14ac:dyDescent="0.35">
      <c r="A463" s="37" t="s">
        <v>468</v>
      </c>
      <c r="B463" s="38" t="s">
        <v>549</v>
      </c>
      <c r="C463" s="39" t="s">
        <v>470</v>
      </c>
      <c r="D463" s="40" t="s">
        <v>266</v>
      </c>
      <c r="E463" s="40"/>
    </row>
    <row r="464" spans="1:5" ht="15.5" x14ac:dyDescent="0.35">
      <c r="A464" s="37" t="s">
        <v>468</v>
      </c>
      <c r="B464" s="38" t="s">
        <v>550</v>
      </c>
      <c r="C464" s="39" t="s">
        <v>470</v>
      </c>
      <c r="D464" s="40" t="s">
        <v>266</v>
      </c>
      <c r="E464" s="40"/>
    </row>
    <row r="465" spans="1:5" ht="15.5" x14ac:dyDescent="0.35">
      <c r="A465" s="37" t="s">
        <v>468</v>
      </c>
      <c r="B465" s="38" t="s">
        <v>551</v>
      </c>
      <c r="C465" s="39" t="s">
        <v>470</v>
      </c>
      <c r="D465" s="40" t="s">
        <v>266</v>
      </c>
      <c r="E465" s="40"/>
    </row>
    <row r="466" spans="1:5" ht="15.5" x14ac:dyDescent="0.35">
      <c r="A466" s="37" t="s">
        <v>468</v>
      </c>
      <c r="B466" s="38" t="s">
        <v>552</v>
      </c>
      <c r="C466" s="39" t="s">
        <v>470</v>
      </c>
      <c r="D466" s="40" t="s">
        <v>266</v>
      </c>
      <c r="E466" s="40"/>
    </row>
    <row r="467" spans="1:5" ht="15.5" x14ac:dyDescent="0.35">
      <c r="A467" s="37" t="s">
        <v>468</v>
      </c>
      <c r="B467" s="38" t="s">
        <v>553</v>
      </c>
      <c r="C467" s="39" t="s">
        <v>470</v>
      </c>
      <c r="D467" s="40" t="s">
        <v>266</v>
      </c>
      <c r="E467" s="40"/>
    </row>
    <row r="468" spans="1:5" ht="15.5" x14ac:dyDescent="0.35">
      <c r="A468" s="37" t="s">
        <v>468</v>
      </c>
      <c r="B468" s="38" t="s">
        <v>554</v>
      </c>
      <c r="C468" s="39" t="s">
        <v>470</v>
      </c>
      <c r="D468" s="40" t="s">
        <v>266</v>
      </c>
      <c r="E468" s="40"/>
    </row>
    <row r="469" spans="1:5" ht="15.5" x14ac:dyDescent="0.35">
      <c r="A469" s="37" t="s">
        <v>468</v>
      </c>
      <c r="B469" s="38" t="s">
        <v>555</v>
      </c>
      <c r="C469" s="39" t="s">
        <v>470</v>
      </c>
      <c r="D469" s="40" t="s">
        <v>266</v>
      </c>
      <c r="E469" s="40"/>
    </row>
    <row r="470" spans="1:5" ht="15.5" x14ac:dyDescent="0.35">
      <c r="A470" s="37" t="s">
        <v>468</v>
      </c>
      <c r="B470" s="38" t="s">
        <v>556</v>
      </c>
      <c r="C470" s="39" t="s">
        <v>470</v>
      </c>
      <c r="D470" s="40" t="s">
        <v>266</v>
      </c>
      <c r="E470" s="40"/>
    </row>
    <row r="471" spans="1:5" ht="15.5" x14ac:dyDescent="0.35">
      <c r="A471" s="37" t="s">
        <v>468</v>
      </c>
      <c r="B471" s="38" t="s">
        <v>557</v>
      </c>
      <c r="C471" s="39" t="s">
        <v>470</v>
      </c>
      <c r="D471" s="40" t="s">
        <v>266</v>
      </c>
      <c r="E471" s="40"/>
    </row>
    <row r="472" spans="1:5" ht="15.5" x14ac:dyDescent="0.35">
      <c r="A472" s="37" t="s">
        <v>468</v>
      </c>
      <c r="B472" s="38" t="s">
        <v>558</v>
      </c>
      <c r="C472" s="39" t="s">
        <v>470</v>
      </c>
      <c r="D472" s="40" t="s">
        <v>266</v>
      </c>
      <c r="E472" s="40"/>
    </row>
    <row r="473" spans="1:5" ht="15.5" x14ac:dyDescent="0.35">
      <c r="A473" s="37" t="s">
        <v>468</v>
      </c>
      <c r="B473" s="38" t="s">
        <v>559</v>
      </c>
      <c r="C473" s="39" t="s">
        <v>470</v>
      </c>
      <c r="D473" s="40" t="s">
        <v>266</v>
      </c>
      <c r="E473" s="40"/>
    </row>
    <row r="474" spans="1:5" ht="15.5" x14ac:dyDescent="0.35">
      <c r="A474" s="37" t="s">
        <v>468</v>
      </c>
      <c r="B474" s="38" t="s">
        <v>560</v>
      </c>
      <c r="C474" s="39" t="s">
        <v>470</v>
      </c>
      <c r="D474" s="40" t="s">
        <v>266</v>
      </c>
      <c r="E474" s="40"/>
    </row>
    <row r="475" spans="1:5" ht="15.5" x14ac:dyDescent="0.35">
      <c r="A475" s="37" t="s">
        <v>468</v>
      </c>
      <c r="B475" s="38" t="s">
        <v>561</v>
      </c>
      <c r="C475" s="39" t="s">
        <v>470</v>
      </c>
      <c r="D475" s="40" t="s">
        <v>266</v>
      </c>
      <c r="E475" s="40"/>
    </row>
    <row r="476" spans="1:5" ht="15.5" x14ac:dyDescent="0.35">
      <c r="A476" s="37" t="s">
        <v>468</v>
      </c>
      <c r="B476" s="38" t="s">
        <v>562</v>
      </c>
      <c r="C476" s="39" t="s">
        <v>470</v>
      </c>
      <c r="D476" s="40" t="s">
        <v>266</v>
      </c>
      <c r="E476" s="40"/>
    </row>
    <row r="477" spans="1:5" ht="15.5" x14ac:dyDescent="0.35">
      <c r="A477" s="37" t="s">
        <v>468</v>
      </c>
      <c r="B477" s="38" t="s">
        <v>563</v>
      </c>
      <c r="C477" s="39" t="s">
        <v>470</v>
      </c>
      <c r="D477" s="40" t="s">
        <v>266</v>
      </c>
      <c r="E477" s="40"/>
    </row>
    <row r="478" spans="1:5" ht="15.5" x14ac:dyDescent="0.35">
      <c r="A478" s="37" t="s">
        <v>468</v>
      </c>
      <c r="B478" s="38" t="s">
        <v>564</v>
      </c>
      <c r="C478" s="39" t="s">
        <v>470</v>
      </c>
      <c r="D478" s="40" t="s">
        <v>266</v>
      </c>
      <c r="E478" s="40"/>
    </row>
    <row r="479" spans="1:5" ht="15.5" x14ac:dyDescent="0.35">
      <c r="A479" s="37" t="s">
        <v>468</v>
      </c>
      <c r="B479" s="38" t="s">
        <v>565</v>
      </c>
      <c r="C479" s="39" t="s">
        <v>470</v>
      </c>
      <c r="D479" s="40" t="s">
        <v>266</v>
      </c>
      <c r="E479" s="40"/>
    </row>
    <row r="480" spans="1:5" ht="15.5" x14ac:dyDescent="0.35">
      <c r="A480" s="37" t="s">
        <v>468</v>
      </c>
      <c r="B480" s="38" t="s">
        <v>566</v>
      </c>
      <c r="C480" s="39" t="s">
        <v>470</v>
      </c>
      <c r="D480" s="40" t="s">
        <v>266</v>
      </c>
      <c r="E480" s="40"/>
    </row>
    <row r="481" spans="1:5" ht="15.5" x14ac:dyDescent="0.35">
      <c r="A481" s="37" t="s">
        <v>468</v>
      </c>
      <c r="B481" s="38" t="s">
        <v>567</v>
      </c>
      <c r="C481" s="39" t="s">
        <v>470</v>
      </c>
      <c r="D481" s="40" t="s">
        <v>266</v>
      </c>
      <c r="E481" s="40"/>
    </row>
    <row r="482" spans="1:5" ht="15.5" x14ac:dyDescent="0.35">
      <c r="A482" s="37" t="s">
        <v>468</v>
      </c>
      <c r="B482" s="38" t="s">
        <v>568</v>
      </c>
      <c r="C482" s="39" t="s">
        <v>470</v>
      </c>
      <c r="D482" s="40" t="s">
        <v>266</v>
      </c>
      <c r="E482" s="40"/>
    </row>
    <row r="483" spans="1:5" ht="15.5" x14ac:dyDescent="0.35">
      <c r="A483" s="37" t="s">
        <v>468</v>
      </c>
      <c r="B483" s="38" t="s">
        <v>569</v>
      </c>
      <c r="C483" s="39" t="s">
        <v>470</v>
      </c>
      <c r="D483" s="40" t="s">
        <v>266</v>
      </c>
      <c r="E483" s="40"/>
    </row>
    <row r="484" spans="1:5" ht="15.5" x14ac:dyDescent="0.35">
      <c r="A484" s="37" t="s">
        <v>468</v>
      </c>
      <c r="B484" s="38" t="s">
        <v>570</v>
      </c>
      <c r="C484" s="39" t="s">
        <v>470</v>
      </c>
      <c r="D484" s="40" t="s">
        <v>266</v>
      </c>
      <c r="E484" s="40"/>
    </row>
    <row r="485" spans="1:5" ht="15.5" x14ac:dyDescent="0.35">
      <c r="A485" s="37" t="s">
        <v>468</v>
      </c>
      <c r="B485" s="38" t="s">
        <v>571</v>
      </c>
      <c r="C485" s="39" t="s">
        <v>470</v>
      </c>
      <c r="D485" s="40" t="s">
        <v>266</v>
      </c>
      <c r="E485" s="40"/>
    </row>
    <row r="486" spans="1:5" ht="15.5" x14ac:dyDescent="0.35">
      <c r="A486" s="37" t="s">
        <v>468</v>
      </c>
      <c r="B486" s="38" t="s">
        <v>572</v>
      </c>
      <c r="C486" s="39" t="s">
        <v>470</v>
      </c>
      <c r="D486" s="40" t="s">
        <v>266</v>
      </c>
      <c r="E486" s="40"/>
    </row>
    <row r="487" spans="1:5" ht="15.5" x14ac:dyDescent="0.35">
      <c r="A487" s="37" t="s">
        <v>468</v>
      </c>
      <c r="B487" s="38" t="s">
        <v>573</v>
      </c>
      <c r="C487" s="39" t="s">
        <v>470</v>
      </c>
      <c r="D487" s="40" t="s">
        <v>266</v>
      </c>
      <c r="E487" s="40"/>
    </row>
    <row r="488" spans="1:5" ht="15.5" x14ac:dyDescent="0.35">
      <c r="A488" s="37" t="s">
        <v>468</v>
      </c>
      <c r="B488" s="38" t="s">
        <v>574</v>
      </c>
      <c r="C488" s="39" t="s">
        <v>470</v>
      </c>
      <c r="D488" s="40" t="s">
        <v>266</v>
      </c>
      <c r="E488" s="40"/>
    </row>
    <row r="489" spans="1:5" ht="15.5" x14ac:dyDescent="0.35">
      <c r="A489" s="37" t="s">
        <v>468</v>
      </c>
      <c r="B489" s="38" t="s">
        <v>575</v>
      </c>
      <c r="C489" s="39" t="s">
        <v>470</v>
      </c>
      <c r="D489" s="40" t="s">
        <v>266</v>
      </c>
      <c r="E489" s="40"/>
    </row>
    <row r="490" spans="1:5" ht="15.5" x14ac:dyDescent="0.35">
      <c r="A490" s="37" t="s">
        <v>468</v>
      </c>
      <c r="B490" s="38" t="s">
        <v>576</v>
      </c>
      <c r="C490" s="39" t="s">
        <v>470</v>
      </c>
      <c r="D490" s="40" t="s">
        <v>266</v>
      </c>
      <c r="E490" s="40"/>
    </row>
    <row r="491" spans="1:5" ht="15.5" x14ac:dyDescent="0.35">
      <c r="A491" s="37" t="s">
        <v>468</v>
      </c>
      <c r="B491" s="38" t="s">
        <v>577</v>
      </c>
      <c r="C491" s="39" t="s">
        <v>470</v>
      </c>
      <c r="D491" s="40" t="s">
        <v>266</v>
      </c>
      <c r="E491" s="40"/>
    </row>
    <row r="492" spans="1:5" ht="15.5" x14ac:dyDescent="0.35">
      <c r="A492" s="37" t="s">
        <v>468</v>
      </c>
      <c r="B492" s="38" t="s">
        <v>578</v>
      </c>
      <c r="C492" s="39" t="s">
        <v>470</v>
      </c>
      <c r="D492" s="40" t="s">
        <v>266</v>
      </c>
      <c r="E492" s="40"/>
    </row>
    <row r="493" spans="1:5" ht="15.5" x14ac:dyDescent="0.35">
      <c r="A493" s="37" t="s">
        <v>468</v>
      </c>
      <c r="B493" s="38" t="s">
        <v>579</v>
      </c>
      <c r="C493" s="39" t="s">
        <v>470</v>
      </c>
      <c r="D493" s="40" t="s">
        <v>266</v>
      </c>
      <c r="E493" s="40"/>
    </row>
    <row r="494" spans="1:5" ht="15.5" x14ac:dyDescent="0.35">
      <c r="A494" s="37" t="s">
        <v>468</v>
      </c>
      <c r="B494" s="38" t="s">
        <v>580</v>
      </c>
      <c r="C494" s="39" t="s">
        <v>470</v>
      </c>
      <c r="D494" s="40" t="s">
        <v>266</v>
      </c>
      <c r="E494" s="40"/>
    </row>
    <row r="495" spans="1:5" ht="15.5" x14ac:dyDescent="0.35">
      <c r="A495" s="37" t="s">
        <v>468</v>
      </c>
      <c r="B495" s="38" t="s">
        <v>581</v>
      </c>
      <c r="C495" s="39" t="s">
        <v>470</v>
      </c>
      <c r="D495" s="40" t="s">
        <v>266</v>
      </c>
      <c r="E495" s="40"/>
    </row>
    <row r="496" spans="1:5" ht="15.5" x14ac:dyDescent="0.35">
      <c r="A496" s="37" t="s">
        <v>468</v>
      </c>
      <c r="B496" s="38" t="s">
        <v>582</v>
      </c>
      <c r="C496" s="39" t="s">
        <v>470</v>
      </c>
      <c r="D496" s="40" t="s">
        <v>266</v>
      </c>
      <c r="E496" s="40"/>
    </row>
    <row r="497" spans="1:5" ht="15.5" x14ac:dyDescent="0.35">
      <c r="A497" s="37" t="s">
        <v>468</v>
      </c>
      <c r="B497" s="38" t="s">
        <v>583</v>
      </c>
      <c r="C497" s="39"/>
      <c r="D497" s="40" t="s">
        <v>227</v>
      </c>
      <c r="E497" s="40" t="s">
        <v>284</v>
      </c>
    </row>
    <row r="498" spans="1:5" ht="15.5" x14ac:dyDescent="0.35">
      <c r="A498" s="37" t="s">
        <v>468</v>
      </c>
      <c r="B498" s="38" t="s">
        <v>584</v>
      </c>
      <c r="C498" s="39" t="s">
        <v>585</v>
      </c>
      <c r="D498" s="40" t="s">
        <v>266</v>
      </c>
      <c r="E498" s="40" t="s">
        <v>284</v>
      </c>
    </row>
    <row r="499" spans="1:5" ht="15.5" x14ac:dyDescent="0.35">
      <c r="A499" s="37" t="s">
        <v>468</v>
      </c>
      <c r="B499" s="38" t="s">
        <v>586</v>
      </c>
      <c r="C499" s="39" t="s">
        <v>585</v>
      </c>
      <c r="D499" s="40" t="s">
        <v>266</v>
      </c>
      <c r="E499" s="40" t="s">
        <v>284</v>
      </c>
    </row>
    <row r="500" spans="1:5" ht="15.5" x14ac:dyDescent="0.35">
      <c r="A500" s="37" t="s">
        <v>468</v>
      </c>
      <c r="B500" s="38" t="s">
        <v>587</v>
      </c>
      <c r="C500" s="39" t="s">
        <v>585</v>
      </c>
      <c r="D500" s="40" t="s">
        <v>266</v>
      </c>
      <c r="E500" s="40" t="s">
        <v>284</v>
      </c>
    </row>
    <row r="501" spans="1:5" ht="15.5" x14ac:dyDescent="0.35">
      <c r="A501" s="37" t="s">
        <v>468</v>
      </c>
      <c r="B501" s="38" t="s">
        <v>588</v>
      </c>
      <c r="C501" s="39" t="s">
        <v>585</v>
      </c>
      <c r="D501" s="40" t="s">
        <v>266</v>
      </c>
      <c r="E501" s="40" t="s">
        <v>284</v>
      </c>
    </row>
    <row r="502" spans="1:5" ht="15.5" x14ac:dyDescent="0.35">
      <c r="A502" s="37" t="s">
        <v>468</v>
      </c>
      <c r="B502" s="38" t="s">
        <v>589</v>
      </c>
      <c r="C502" s="39" t="s">
        <v>585</v>
      </c>
      <c r="D502" s="40" t="s">
        <v>266</v>
      </c>
      <c r="E502" s="40" t="s">
        <v>284</v>
      </c>
    </row>
    <row r="503" spans="1:5" ht="15.5" x14ac:dyDescent="0.35">
      <c r="A503" s="37" t="s">
        <v>468</v>
      </c>
      <c r="B503" s="38" t="s">
        <v>590</v>
      </c>
      <c r="C503" s="39" t="s">
        <v>585</v>
      </c>
      <c r="D503" s="40" t="s">
        <v>266</v>
      </c>
      <c r="E503" s="40" t="s">
        <v>284</v>
      </c>
    </row>
    <row r="504" spans="1:5" ht="15.5" x14ac:dyDescent="0.35">
      <c r="A504" s="37" t="s">
        <v>468</v>
      </c>
      <c r="B504" s="38" t="s">
        <v>591</v>
      </c>
      <c r="C504" s="39"/>
      <c r="D504" s="40" t="s">
        <v>266</v>
      </c>
      <c r="E504" s="40" t="s">
        <v>284</v>
      </c>
    </row>
    <row r="505" spans="1:5" ht="15.5" x14ac:dyDescent="0.35">
      <c r="A505" s="37" t="s">
        <v>468</v>
      </c>
      <c r="B505" s="38" t="s">
        <v>592</v>
      </c>
      <c r="C505" s="39"/>
      <c r="D505" s="40" t="s">
        <v>266</v>
      </c>
      <c r="E505" s="40" t="s">
        <v>284</v>
      </c>
    </row>
    <row r="506" spans="1:5" ht="15.5" x14ac:dyDescent="0.35">
      <c r="A506" s="37" t="s">
        <v>468</v>
      </c>
      <c r="B506" s="38" t="s">
        <v>593</v>
      </c>
      <c r="C506" s="39"/>
      <c r="D506" s="40" t="s">
        <v>227</v>
      </c>
      <c r="E506" s="40" t="s">
        <v>284</v>
      </c>
    </row>
    <row r="507" spans="1:5" ht="15.5" x14ac:dyDescent="0.35">
      <c r="A507" s="37" t="s">
        <v>468</v>
      </c>
      <c r="B507" s="38" t="s">
        <v>594</v>
      </c>
      <c r="C507" s="39" t="s">
        <v>585</v>
      </c>
      <c r="D507" s="40" t="s">
        <v>266</v>
      </c>
      <c r="E507" s="40" t="s">
        <v>284</v>
      </c>
    </row>
    <row r="508" spans="1:5" ht="15.5" x14ac:dyDescent="0.35">
      <c r="A508" s="37" t="s">
        <v>468</v>
      </c>
      <c r="B508" s="38" t="s">
        <v>595</v>
      </c>
      <c r="C508" s="39" t="s">
        <v>585</v>
      </c>
      <c r="D508" s="40" t="s">
        <v>266</v>
      </c>
      <c r="E508" s="40" t="s">
        <v>284</v>
      </c>
    </row>
    <row r="509" spans="1:5" ht="15.5" x14ac:dyDescent="0.35">
      <c r="A509" s="37" t="s">
        <v>468</v>
      </c>
      <c r="B509" s="38" t="s">
        <v>596</v>
      </c>
      <c r="C509" s="39" t="s">
        <v>585</v>
      </c>
      <c r="D509" s="40" t="s">
        <v>266</v>
      </c>
      <c r="E509" s="40" t="s">
        <v>284</v>
      </c>
    </row>
    <row r="510" spans="1:5" ht="15.5" x14ac:dyDescent="0.35">
      <c r="A510" s="37" t="s">
        <v>468</v>
      </c>
      <c r="B510" s="38" t="s">
        <v>597</v>
      </c>
      <c r="C510" s="39" t="s">
        <v>585</v>
      </c>
      <c r="D510" s="40" t="s">
        <v>266</v>
      </c>
      <c r="E510" s="40" t="s">
        <v>284</v>
      </c>
    </row>
    <row r="511" spans="1:5" ht="15.5" x14ac:dyDescent="0.35">
      <c r="A511" s="37" t="s">
        <v>468</v>
      </c>
      <c r="B511" s="38" t="s">
        <v>598</v>
      </c>
      <c r="C511" s="39"/>
      <c r="D511" s="40" t="s">
        <v>266</v>
      </c>
      <c r="E511" s="40" t="s">
        <v>284</v>
      </c>
    </row>
    <row r="512" spans="1:5" ht="15.5" x14ac:dyDescent="0.35">
      <c r="A512" s="37" t="s">
        <v>599</v>
      </c>
      <c r="B512" s="38">
        <v>111</v>
      </c>
      <c r="C512" s="39" t="s">
        <v>600</v>
      </c>
      <c r="D512" s="40" t="s">
        <v>266</v>
      </c>
      <c r="E512" s="40"/>
    </row>
    <row r="513" spans="1:5" ht="15.5" x14ac:dyDescent="0.35">
      <c r="A513" s="37" t="s">
        <v>599</v>
      </c>
      <c r="B513" s="38">
        <v>112</v>
      </c>
      <c r="C513" s="39" t="s">
        <v>601</v>
      </c>
      <c r="D513" s="40" t="s">
        <v>266</v>
      </c>
      <c r="E513" s="40" t="s">
        <v>283</v>
      </c>
    </row>
    <row r="514" spans="1:5" ht="15.5" x14ac:dyDescent="0.35">
      <c r="A514" s="37" t="s">
        <v>599</v>
      </c>
      <c r="B514" s="38">
        <v>113</v>
      </c>
      <c r="C514" s="39" t="s">
        <v>602</v>
      </c>
      <c r="D514" s="40" t="s">
        <v>227</v>
      </c>
      <c r="E514" s="40"/>
    </row>
    <row r="515" spans="1:5" ht="15.5" x14ac:dyDescent="0.35">
      <c r="A515" s="37" t="s">
        <v>599</v>
      </c>
      <c r="B515" s="38">
        <v>114</v>
      </c>
      <c r="C515" s="39" t="s">
        <v>603</v>
      </c>
      <c r="D515" s="40" t="s">
        <v>227</v>
      </c>
      <c r="E515" s="40" t="s">
        <v>284</v>
      </c>
    </row>
    <row r="516" spans="1:5" ht="15.5" x14ac:dyDescent="0.35">
      <c r="A516" s="37" t="s">
        <v>599</v>
      </c>
      <c r="B516" s="38" t="s">
        <v>604</v>
      </c>
      <c r="C516" s="39" t="s">
        <v>605</v>
      </c>
      <c r="D516" s="40" t="s">
        <v>227</v>
      </c>
      <c r="E516" s="40"/>
    </row>
    <row r="517" spans="1:5" ht="15.5" x14ac:dyDescent="0.35">
      <c r="A517" s="37" t="s">
        <v>599</v>
      </c>
      <c r="B517" s="38" t="s">
        <v>606</v>
      </c>
      <c r="C517" s="39" t="s">
        <v>605</v>
      </c>
      <c r="D517" s="40" t="s">
        <v>227</v>
      </c>
      <c r="E517" s="40"/>
    </row>
    <row r="518" spans="1:5" ht="15.5" x14ac:dyDescent="0.35">
      <c r="A518" s="37" t="s">
        <v>599</v>
      </c>
      <c r="B518" s="38" t="s">
        <v>607</v>
      </c>
      <c r="C518" s="39" t="s">
        <v>605</v>
      </c>
      <c r="D518" s="40" t="s">
        <v>227</v>
      </c>
      <c r="E518" s="40"/>
    </row>
    <row r="519" spans="1:5" ht="15.5" x14ac:dyDescent="0.35">
      <c r="A519" s="37" t="s">
        <v>599</v>
      </c>
      <c r="B519" s="38" t="s">
        <v>608</v>
      </c>
      <c r="C519" s="39" t="s">
        <v>605</v>
      </c>
      <c r="D519" s="40" t="s">
        <v>227</v>
      </c>
      <c r="E519" s="40"/>
    </row>
    <row r="520" spans="1:5" ht="15.5" x14ac:dyDescent="0.35">
      <c r="A520" s="37" t="s">
        <v>599</v>
      </c>
      <c r="B520" s="38" t="s">
        <v>609</v>
      </c>
      <c r="C520" s="39" t="s">
        <v>610</v>
      </c>
      <c r="D520" s="40" t="s">
        <v>266</v>
      </c>
      <c r="E520" s="40"/>
    </row>
    <row r="521" spans="1:5" ht="15.5" x14ac:dyDescent="0.35">
      <c r="A521" s="37" t="s">
        <v>599</v>
      </c>
      <c r="B521" s="38" t="s">
        <v>611</v>
      </c>
      <c r="C521" s="39" t="s">
        <v>610</v>
      </c>
      <c r="D521" s="40" t="s">
        <v>227</v>
      </c>
      <c r="E521" s="40"/>
    </row>
    <row r="522" spans="1:5" ht="15.5" x14ac:dyDescent="0.35">
      <c r="A522" s="37" t="s">
        <v>599</v>
      </c>
      <c r="B522" s="38" t="s">
        <v>612</v>
      </c>
      <c r="C522" s="39" t="s">
        <v>610</v>
      </c>
      <c r="D522" s="40" t="s">
        <v>227</v>
      </c>
      <c r="E522" s="40"/>
    </row>
    <row r="523" spans="1:5" ht="15.5" x14ac:dyDescent="0.35">
      <c r="A523" s="37" t="s">
        <v>599</v>
      </c>
      <c r="B523" s="38">
        <v>131</v>
      </c>
      <c r="C523" s="39" t="s">
        <v>613</v>
      </c>
      <c r="D523" s="40" t="s">
        <v>227</v>
      </c>
      <c r="E523" s="40" t="s">
        <v>284</v>
      </c>
    </row>
    <row r="524" spans="1:5" ht="15.5" x14ac:dyDescent="0.35">
      <c r="A524" s="37" t="s">
        <v>599</v>
      </c>
      <c r="B524" s="38">
        <v>1310</v>
      </c>
      <c r="C524" s="39" t="s">
        <v>614</v>
      </c>
      <c r="D524" s="40" t="s">
        <v>227</v>
      </c>
      <c r="E524" s="40" t="s">
        <v>284</v>
      </c>
    </row>
    <row r="525" spans="1:5" ht="15.5" x14ac:dyDescent="0.35">
      <c r="A525" s="37" t="s">
        <v>599</v>
      </c>
      <c r="B525" s="38">
        <v>133</v>
      </c>
      <c r="C525" s="39" t="s">
        <v>615</v>
      </c>
      <c r="D525" s="40" t="s">
        <v>227</v>
      </c>
      <c r="E525" s="40"/>
    </row>
    <row r="526" spans="1:5" ht="15.5" x14ac:dyDescent="0.35">
      <c r="A526" s="37" t="s">
        <v>599</v>
      </c>
      <c r="B526" s="38">
        <v>134</v>
      </c>
      <c r="C526" s="39" t="s">
        <v>616</v>
      </c>
      <c r="D526" s="40" t="s">
        <v>227</v>
      </c>
      <c r="E526" s="40"/>
    </row>
    <row r="527" spans="1:5" ht="15.5" x14ac:dyDescent="0.35">
      <c r="A527" s="37" t="s">
        <v>599</v>
      </c>
      <c r="B527" s="38">
        <v>115</v>
      </c>
      <c r="C527" s="39" t="s">
        <v>617</v>
      </c>
      <c r="D527" s="40" t="s">
        <v>227</v>
      </c>
      <c r="E527" s="40"/>
    </row>
    <row r="528" spans="1:5" ht="15.5" x14ac:dyDescent="0.35">
      <c r="A528" s="37" t="s">
        <v>599</v>
      </c>
      <c r="B528" s="38">
        <v>116</v>
      </c>
      <c r="C528" s="39" t="s">
        <v>617</v>
      </c>
      <c r="D528" s="40" t="s">
        <v>227</v>
      </c>
      <c r="E528" s="40"/>
    </row>
    <row r="529" spans="1:5" ht="15.5" x14ac:dyDescent="0.35">
      <c r="A529" s="37" t="s">
        <v>599</v>
      </c>
      <c r="B529" s="38">
        <v>120</v>
      </c>
      <c r="C529" s="39" t="s">
        <v>618</v>
      </c>
      <c r="D529" s="40" t="s">
        <v>227</v>
      </c>
      <c r="E529" s="40" t="s">
        <v>284</v>
      </c>
    </row>
    <row r="530" spans="1:5" ht="15.5" x14ac:dyDescent="0.35">
      <c r="A530" s="37"/>
      <c r="B530" s="38"/>
      <c r="C530" s="39"/>
      <c r="D530" s="40"/>
      <c r="E530" s="40"/>
    </row>
    <row r="531" spans="1:5" ht="15.5" x14ac:dyDescent="0.35">
      <c r="A531" s="37"/>
      <c r="B531" s="38"/>
      <c r="C531" s="39"/>
      <c r="D531" s="40"/>
      <c r="E531" s="40"/>
    </row>
    <row r="532" spans="1:5" ht="15.5" x14ac:dyDescent="0.35">
      <c r="A532" s="37" t="s">
        <v>619</v>
      </c>
      <c r="B532" s="38"/>
      <c r="C532" s="39" t="s">
        <v>620</v>
      </c>
      <c r="D532" s="40" t="s">
        <v>266</v>
      </c>
      <c r="E532" s="40" t="s">
        <v>283</v>
      </c>
    </row>
    <row r="533" spans="1:5" ht="15.5" x14ac:dyDescent="0.35">
      <c r="A533" s="37"/>
      <c r="B533" s="38"/>
      <c r="C533" s="39" t="s">
        <v>621</v>
      </c>
      <c r="D533" s="40" t="s">
        <v>266</v>
      </c>
      <c r="E533" s="40"/>
    </row>
    <row r="534" spans="1:5" ht="15.5" x14ac:dyDescent="0.35">
      <c r="A534" s="37" t="s">
        <v>622</v>
      </c>
      <c r="B534" s="38"/>
      <c r="C534" s="39" t="s">
        <v>623</v>
      </c>
      <c r="D534" s="40" t="s">
        <v>266</v>
      </c>
      <c r="E534" s="40"/>
    </row>
    <row r="535" spans="1:5" ht="15.5" x14ac:dyDescent="0.35">
      <c r="A535" s="37"/>
      <c r="B535" s="38"/>
      <c r="C535" s="39"/>
      <c r="D535" s="40"/>
      <c r="E535" s="40"/>
    </row>
    <row r="536" spans="1:5" ht="15.5" x14ac:dyDescent="0.35">
      <c r="A536" s="37"/>
      <c r="B536" s="38"/>
      <c r="C536" s="39"/>
      <c r="D536" s="40"/>
      <c r="E536" s="40"/>
    </row>
    <row r="537" spans="1:5" ht="15.5" x14ac:dyDescent="0.35">
      <c r="A537" s="37"/>
      <c r="B537" s="38"/>
      <c r="C537" s="39"/>
      <c r="D537" s="40"/>
      <c r="E537" s="40"/>
    </row>
    <row r="538" spans="1:5" ht="15.5" x14ac:dyDescent="0.35">
      <c r="A538" s="37"/>
      <c r="B538" s="38"/>
      <c r="C538" s="39"/>
      <c r="D538" s="40"/>
      <c r="E538" s="40"/>
    </row>
  </sheetData>
  <mergeCells count="2">
    <mergeCell ref="A3:D3"/>
    <mergeCell ref="A5:B5"/>
  </mergeCells>
  <hyperlinks>
    <hyperlink ref="C2" r:id="rId1" xr:uid="{86606FD4-C606-4135-B286-E2D572A8C4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0CA3C-2473-41C9-89A0-BD3A9C818903}">
  <sheetPr>
    <tabColor theme="2" tint="-9.9978637043366805E-2"/>
  </sheetPr>
  <dimension ref="A11:I15"/>
  <sheetViews>
    <sheetView topLeftCell="A4" workbookViewId="0">
      <selection activeCell="D14" sqref="D14:E14"/>
    </sheetView>
  </sheetViews>
  <sheetFormatPr defaultRowHeight="14.5" x14ac:dyDescent="0.35"/>
  <cols>
    <col min="1" max="2" width="25.54296875" customWidth="1"/>
    <col min="3" max="3" width="2.54296875" style="57" customWidth="1"/>
    <col min="4" max="5" width="25.54296875" customWidth="1"/>
    <col min="6" max="6" width="2.54296875" style="57" customWidth="1"/>
    <col min="7" max="8" width="25.54296875" customWidth="1"/>
    <col min="9" max="9" width="2.54296875" style="57" customWidth="1"/>
  </cols>
  <sheetData>
    <row r="11" spans="1:9" x14ac:dyDescent="0.35">
      <c r="A11" s="67" t="s">
        <v>646</v>
      </c>
      <c r="B11" s="67"/>
      <c r="C11" s="67"/>
      <c r="D11" s="67" t="s">
        <v>647</v>
      </c>
      <c r="E11" s="67"/>
      <c r="F11" s="67"/>
      <c r="G11" s="67" t="s">
        <v>648</v>
      </c>
      <c r="H11" s="67"/>
      <c r="I11" s="67"/>
    </row>
    <row r="12" spans="1:9" s="1" customFormat="1" ht="28.5" customHeight="1" x14ac:dyDescent="0.35">
      <c r="A12" s="66" t="s">
        <v>649</v>
      </c>
      <c r="B12" s="66"/>
      <c r="C12" s="4">
        <v>1</v>
      </c>
      <c r="D12" s="66" t="s">
        <v>652</v>
      </c>
      <c r="E12" s="66"/>
      <c r="F12" s="4">
        <v>1</v>
      </c>
      <c r="G12" s="66" t="s">
        <v>655</v>
      </c>
      <c r="H12" s="66"/>
      <c r="I12" s="4">
        <v>1</v>
      </c>
    </row>
    <row r="13" spans="1:9" s="1" customFormat="1" ht="29.5" customHeight="1" x14ac:dyDescent="0.35">
      <c r="A13" s="66" t="s">
        <v>650</v>
      </c>
      <c r="B13" s="66"/>
      <c r="C13" s="4">
        <v>3</v>
      </c>
      <c r="D13" s="66" t="s">
        <v>653</v>
      </c>
      <c r="E13" s="66"/>
      <c r="F13" s="4">
        <v>3</v>
      </c>
      <c r="G13" s="66" t="s">
        <v>656</v>
      </c>
      <c r="H13" s="66"/>
      <c r="I13" s="4">
        <v>3</v>
      </c>
    </row>
    <row r="14" spans="1:9" s="1" customFormat="1" ht="28.5" customHeight="1" x14ac:dyDescent="0.35">
      <c r="A14" s="66" t="s">
        <v>651</v>
      </c>
      <c r="B14" s="66"/>
      <c r="C14" s="4">
        <v>5</v>
      </c>
      <c r="D14" s="66" t="s">
        <v>654</v>
      </c>
      <c r="E14" s="66"/>
      <c r="F14" s="4">
        <v>5</v>
      </c>
      <c r="G14" s="66" t="s">
        <v>657</v>
      </c>
      <c r="H14" s="66"/>
      <c r="I14" s="4">
        <v>5</v>
      </c>
    </row>
    <row r="15" spans="1:9" x14ac:dyDescent="0.35">
      <c r="A15" s="58"/>
      <c r="B15" s="58"/>
      <c r="D15" s="58"/>
      <c r="E15" s="58"/>
      <c r="G15" s="58"/>
      <c r="H15" s="58"/>
    </row>
  </sheetData>
  <mergeCells count="12">
    <mergeCell ref="A11:C11"/>
    <mergeCell ref="D11:F11"/>
    <mergeCell ref="G11:I11"/>
    <mergeCell ref="A12:B12"/>
    <mergeCell ref="D12:E12"/>
    <mergeCell ref="G12:H12"/>
    <mergeCell ref="G13:H13"/>
    <mergeCell ref="G14:H14"/>
    <mergeCell ref="D13:E13"/>
    <mergeCell ref="D14:E14"/>
    <mergeCell ref="A14:B14"/>
    <mergeCell ref="A13:B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2741c6-49fa-4f8b-94a9-9a0820753036">
      <Terms xmlns="http://schemas.microsoft.com/office/infopath/2007/PartnerControls"/>
    </lcf76f155ced4ddcb4097134ff3c332f>
    <TaxCatchAll xmlns="42655a8f-df48-4af6-8813-e3fd02a926a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7A5F9FF5D0B54F90639664F869FD83" ma:contentTypeVersion="13" ma:contentTypeDescription="Create a new document." ma:contentTypeScope="" ma:versionID="062898a03cc410c3081d92e7003cbc5c">
  <xsd:schema xmlns:xsd="http://www.w3.org/2001/XMLSchema" xmlns:xs="http://www.w3.org/2001/XMLSchema" xmlns:p="http://schemas.microsoft.com/office/2006/metadata/properties" xmlns:ns2="732741c6-49fa-4f8b-94a9-9a0820753036" xmlns:ns3="42655a8f-df48-4af6-8813-e3fd02a926a3" targetNamespace="http://schemas.microsoft.com/office/2006/metadata/properties" ma:root="true" ma:fieldsID="778fdc4510075ae429f4035a3c0e0b50" ns2:_="" ns3:_="">
    <xsd:import namespace="732741c6-49fa-4f8b-94a9-9a0820753036"/>
    <xsd:import namespace="42655a8f-df48-4af6-8813-e3fd02a926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2741c6-49fa-4f8b-94a9-9a08207530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baf3ea6-7471-4ca4-9351-e34a1fb968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655a8f-df48-4af6-8813-e3fd02a926a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4c7ee31-9397-4717-80b8-d3db52b65afe}" ma:internalName="TaxCatchAll" ma:showField="CatchAllData" ma:web="42655a8f-df48-4af6-8813-e3fd02a926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9C480A-46B3-4000-87D4-C785E1FEFD15}">
  <ds:schemaRefs>
    <ds:schemaRef ds:uri="http://schemas.microsoft.com/office/2006/metadata/properties"/>
    <ds:schemaRef ds:uri="http://schemas.microsoft.com/office/infopath/2007/PartnerControls"/>
    <ds:schemaRef ds:uri="732741c6-49fa-4f8b-94a9-9a0820753036"/>
    <ds:schemaRef ds:uri="42655a8f-df48-4af6-8813-e3fd02a926a3"/>
  </ds:schemaRefs>
</ds:datastoreItem>
</file>

<file path=customXml/itemProps2.xml><?xml version="1.0" encoding="utf-8"?>
<ds:datastoreItem xmlns:ds="http://schemas.openxmlformats.org/officeDocument/2006/customXml" ds:itemID="{D08D6663-5909-42A9-94FA-26B4EFC7B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2741c6-49fa-4f8b-94a9-9a0820753036"/>
    <ds:schemaRef ds:uri="42655a8f-df48-4af6-8813-e3fd02a926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684623-5170-4544-8495-D1755B607A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FMEA</vt:lpstr>
      <vt:lpstr>DA and UPS powered devices</vt:lpstr>
      <vt:lpstr>Evaluation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Vaclav Bernasek</dc:creator>
  <cp:lastModifiedBy>Bernášek Václav</cp:lastModifiedBy>
  <cp:lastPrinted>2024-12-17T11:54:17Z</cp:lastPrinted>
  <dcterms:created xsi:type="dcterms:W3CDTF">2015-06-05T18:17:20Z</dcterms:created>
  <dcterms:modified xsi:type="dcterms:W3CDTF">2026-02-13T16:11:55Z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0x010100EE7A5F9FF5D0B54F90639664F869FD83</vt:lpwstr>
  </property>
  <property fmtid="{D5CDD505-2E9C-101B-9397-08002B2CF9AE}" pid="3" name="MediaServiceImageTags">
    <vt:lpwstr/>
  </property>
</Properties>
</file>